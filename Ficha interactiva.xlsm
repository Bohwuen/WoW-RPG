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bbib\Downloads\"/>
    </mc:Choice>
  </mc:AlternateContent>
  <xr:revisionPtr revIDLastSave="0" documentId="13_ncr:1_{C2FFB998-B1BE-47E6-921A-4605A1E9340A}" xr6:coauthVersionLast="47" xr6:coauthVersionMax="47" xr10:uidLastSave="{00000000-0000-0000-0000-000000000000}"/>
  <bookViews>
    <workbookView xWindow="-120" yWindow="-120" windowWidth="29040" windowHeight="15720" xr2:uid="{226FEB6B-B260-4D2F-80B5-54BDF0E921E0}"/>
  </bookViews>
  <sheets>
    <sheet name="Ficha completa" sheetId="4" r:id="rId1"/>
    <sheet name="Ficha inicial" sheetId="3" r:id="rId2"/>
    <sheet name="Razas" sheetId="1" r:id="rId3"/>
    <sheet name="Clases" sheetId="2" r:id="rId4"/>
    <sheet name="Raciales Especi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V29" i="3" l="1"/>
  <c r="B3" i="5"/>
  <c r="DV3" i="3" s="1"/>
  <c r="B4" i="5"/>
  <c r="DV4" i="3" s="1"/>
  <c r="B5" i="5"/>
  <c r="DV5" i="1" s="1"/>
  <c r="B5" i="1" s="1"/>
  <c r="B6" i="5"/>
  <c r="DV6" i="3" s="1"/>
  <c r="B7" i="5"/>
  <c r="DV7" i="3" s="1"/>
  <c r="B8" i="5"/>
  <c r="DV8" i="3" s="1"/>
  <c r="B9" i="5"/>
  <c r="DV9" i="3" s="1"/>
  <c r="B10" i="5"/>
  <c r="DV10" i="3" s="1"/>
  <c r="B11" i="5"/>
  <c r="DV11" i="3" s="1"/>
  <c r="B12" i="5"/>
  <c r="DV12" i="1" s="1"/>
  <c r="B12" i="1" s="1"/>
  <c r="B13" i="5"/>
  <c r="DV13" i="1" s="1"/>
  <c r="B13" i="1" s="1"/>
  <c r="B14" i="5"/>
  <c r="DV14" i="1" s="1"/>
  <c r="B14" i="1" s="1"/>
  <c r="B15" i="5"/>
  <c r="DV15" i="1" s="1"/>
  <c r="B15" i="1" s="1"/>
  <c r="B16" i="5"/>
  <c r="DV16" i="1" s="1"/>
  <c r="B16" i="1" s="1"/>
  <c r="B17" i="5"/>
  <c r="DV17" i="1" s="1"/>
  <c r="B17" i="1" s="1"/>
  <c r="B18" i="5"/>
  <c r="DV18" i="1" s="1"/>
  <c r="B18" i="1" s="1"/>
  <c r="B19" i="5"/>
  <c r="DV19" i="1" s="1"/>
  <c r="B19" i="1" s="1"/>
  <c r="B20" i="5"/>
  <c r="DV20" i="1" s="1"/>
  <c r="B20" i="1" s="1"/>
  <c r="B21" i="5"/>
  <c r="DV21" i="1" s="1"/>
  <c r="B21" i="1" s="1"/>
  <c r="B22" i="5"/>
  <c r="DV22" i="1" s="1"/>
  <c r="B22" i="1" s="1"/>
  <c r="B23" i="5"/>
  <c r="DV23" i="1" s="1"/>
  <c r="B23" i="1" s="1"/>
  <c r="B24" i="5"/>
  <c r="DV24" i="1" s="1"/>
  <c r="B24" i="1" s="1"/>
  <c r="B25" i="5"/>
  <c r="DV25" i="1" s="1"/>
  <c r="B25" i="1" s="1"/>
  <c r="B26" i="5"/>
  <c r="DV26" i="1" s="1"/>
  <c r="B26" i="1" s="1"/>
  <c r="B27" i="5"/>
  <c r="DV27" i="1" s="1"/>
  <c r="B27" i="1" s="1"/>
  <c r="B28" i="5"/>
  <c r="DV28" i="1" s="1"/>
  <c r="B28" i="1" s="1"/>
  <c r="B29" i="5"/>
  <c r="DV29" i="1" s="1"/>
  <c r="B29" i="1" s="1"/>
  <c r="B30" i="5"/>
  <c r="DV30" i="1" s="1"/>
  <c r="B30" i="1" s="1"/>
  <c r="B31" i="5"/>
  <c r="DV31" i="1" s="1"/>
  <c r="B31" i="1" s="1"/>
  <c r="B32" i="5"/>
  <c r="DV32" i="1" s="1"/>
  <c r="B32" i="1" s="1"/>
  <c r="B33" i="5"/>
  <c r="DV33" i="1" s="1"/>
  <c r="B33" i="1" s="1"/>
  <c r="B34" i="5"/>
  <c r="DV34" i="1" s="1"/>
  <c r="B34" i="1" s="1"/>
  <c r="B35" i="5"/>
  <c r="DV35" i="1" s="1"/>
  <c r="B35" i="1" s="1"/>
  <c r="B36" i="5"/>
  <c r="DV36" i="1" s="1"/>
  <c r="B36" i="1" s="1"/>
  <c r="B37" i="5"/>
  <c r="DV37" i="1" s="1"/>
  <c r="B37" i="1" s="1"/>
  <c r="B38" i="5"/>
  <c r="DV38" i="1" s="1"/>
  <c r="B38" i="1" s="1"/>
  <c r="B39" i="5"/>
  <c r="DV39" i="1" s="1"/>
  <c r="B39" i="1" s="1"/>
  <c r="B2" i="5"/>
  <c r="DV2" i="1" s="1"/>
  <c r="B2" i="1" s="1"/>
  <c r="DV3" i="1"/>
  <c r="B3" i="1" s="1"/>
  <c r="DV4" i="1"/>
  <c r="B4" i="1" s="1"/>
  <c r="DV6" i="1"/>
  <c r="B6" i="1" s="1"/>
  <c r="DV7" i="1"/>
  <c r="B7" i="1" s="1"/>
  <c r="DV8" i="1"/>
  <c r="B8" i="1" s="1"/>
  <c r="DV9" i="1"/>
  <c r="B9" i="1" s="1"/>
  <c r="L4" i="4"/>
  <c r="H14" i="4"/>
  <c r="K24" i="4"/>
  <c r="K23" i="4"/>
  <c r="K22" i="4"/>
  <c r="K21" i="4"/>
  <c r="K20" i="4"/>
  <c r="K19" i="4"/>
  <c r="H3" i="4"/>
  <c r="M31" i="4"/>
  <c r="N31" i="4"/>
  <c r="L25" i="4"/>
  <c r="L18" i="4"/>
  <c r="H23" i="4"/>
  <c r="H8" i="4"/>
  <c r="H4" i="4"/>
  <c r="D13" i="4"/>
  <c r="D4" i="4"/>
  <c r="I27" i="4"/>
  <c r="J27" i="4" s="1"/>
  <c r="I28" i="4"/>
  <c r="I29" i="4"/>
  <c r="I30" i="4"/>
  <c r="I31" i="4"/>
  <c r="I20" i="4"/>
  <c r="J20" i="4" s="1"/>
  <c r="I21" i="4"/>
  <c r="J21" i="4" s="1"/>
  <c r="I22" i="4"/>
  <c r="J22" i="4" s="1"/>
  <c r="J28" i="4"/>
  <c r="J29" i="4"/>
  <c r="J30" i="4"/>
  <c r="J31" i="4"/>
  <c r="A4" i="3"/>
  <c r="U4" i="3" s="1"/>
  <c r="A3" i="3"/>
  <c r="G3" i="3" s="1"/>
  <c r="B3" i="2"/>
  <c r="B4" i="2"/>
  <c r="B5" i="2"/>
  <c r="B6" i="2"/>
  <c r="B7" i="2"/>
  <c r="B8" i="2"/>
  <c r="B9" i="2"/>
  <c r="B10" i="2"/>
  <c r="B11" i="2"/>
  <c r="B12" i="2"/>
  <c r="B13" i="2"/>
  <c r="B14" i="2"/>
  <c r="B2" i="2"/>
  <c r="DW3" i="3" l="1"/>
  <c r="L1" i="4" s="1"/>
  <c r="DV22" i="3"/>
  <c r="DV12" i="3"/>
  <c r="DV13" i="3"/>
  <c r="DV14" i="3"/>
  <c r="DV15" i="3"/>
  <c r="DV16" i="3"/>
  <c r="DV23" i="3"/>
  <c r="DV24" i="3"/>
  <c r="DV25" i="3"/>
  <c r="DV11" i="1"/>
  <c r="B11" i="1" s="1"/>
  <c r="DV27" i="3"/>
  <c r="DV10" i="1"/>
  <c r="B10" i="1" s="1"/>
  <c r="DV28" i="3"/>
  <c r="DV20" i="3"/>
  <c r="DV26" i="3"/>
  <c r="DV30" i="3"/>
  <c r="DV31" i="3"/>
  <c r="DV32" i="3"/>
  <c r="DV33" i="3"/>
  <c r="DV18" i="3"/>
  <c r="DV19" i="3"/>
  <c r="DV34" i="3"/>
  <c r="DV35" i="3"/>
  <c r="DV36" i="3"/>
  <c r="DV37" i="3"/>
  <c r="DV5" i="3"/>
  <c r="DV38" i="3"/>
  <c r="DV17" i="3"/>
  <c r="DV21" i="3"/>
  <c r="DV39" i="3"/>
  <c r="DV2" i="3"/>
  <c r="DV40" i="3"/>
  <c r="B4" i="3"/>
  <c r="B3" i="3"/>
  <c r="DQ3" i="3"/>
  <c r="DQ4" i="3"/>
  <c r="DU4" i="3"/>
  <c r="DU3" i="3"/>
  <c r="W4" i="3"/>
  <c r="W3" i="3"/>
  <c r="BW4" i="3"/>
  <c r="BV4" i="3"/>
  <c r="BX4" i="3"/>
  <c r="CL4" i="3"/>
  <c r="CK4" i="3"/>
  <c r="BT4" i="3"/>
  <c r="BS4" i="3"/>
  <c r="BU4" i="3"/>
  <c r="P4" i="3"/>
  <c r="BR4" i="3"/>
  <c r="N4" i="3"/>
  <c r="M4" i="3"/>
  <c r="O4" i="3"/>
  <c r="L4" i="3"/>
  <c r="J4" i="3"/>
  <c r="K4" i="3"/>
  <c r="I4" i="3"/>
  <c r="H4" i="3"/>
  <c r="CV4" i="3"/>
  <c r="CJ3" i="3"/>
  <c r="CH3" i="3"/>
  <c r="CI3" i="3"/>
  <c r="CG3" i="3"/>
  <c r="CF3" i="3"/>
  <c r="DM3" i="3"/>
  <c r="CE3" i="3"/>
  <c r="CD3" i="3"/>
  <c r="DP4" i="3"/>
  <c r="AU4" i="3"/>
  <c r="G4" i="3"/>
  <c r="G2" i="3" s="1"/>
  <c r="E9" i="4" s="1"/>
  <c r="DN4" i="3"/>
  <c r="AJ4" i="3"/>
  <c r="BP4" i="3"/>
  <c r="BQ4" i="3"/>
  <c r="BM4" i="3"/>
  <c r="BK4" i="3"/>
  <c r="BJ4" i="3"/>
  <c r="DR4" i="3"/>
  <c r="AK4" i="3"/>
  <c r="DM4" i="3"/>
  <c r="AI4" i="3"/>
  <c r="CZ4" i="3"/>
  <c r="T4" i="3"/>
  <c r="BN4" i="3"/>
  <c r="DL4" i="3"/>
  <c r="CY4" i="3"/>
  <c r="S4" i="3"/>
  <c r="BO4" i="3"/>
  <c r="DT4" i="3"/>
  <c r="DS4" i="3"/>
  <c r="AH4" i="3"/>
  <c r="CX4" i="3"/>
  <c r="R4" i="3"/>
  <c r="BL4" i="3"/>
  <c r="AV4" i="3"/>
  <c r="DO4" i="3"/>
  <c r="CW4" i="3"/>
  <c r="Q4" i="3"/>
  <c r="AE3" i="3"/>
  <c r="AD3" i="3"/>
  <c r="AC3" i="3"/>
  <c r="CU4" i="3"/>
  <c r="CS4" i="3"/>
  <c r="AP4" i="3"/>
  <c r="AT4" i="3"/>
  <c r="AQ4" i="3"/>
  <c r="CP4" i="3"/>
  <c r="AO4" i="3"/>
  <c r="CT4" i="3"/>
  <c r="AS4" i="3"/>
  <c r="AR4" i="3"/>
  <c r="CR4" i="3"/>
  <c r="CQ4" i="3"/>
  <c r="CO4" i="3"/>
  <c r="AN4" i="3"/>
  <c r="CN4" i="3"/>
  <c r="AM4" i="3"/>
  <c r="CM4" i="3"/>
  <c r="AL4" i="3"/>
  <c r="AV3" i="3"/>
  <c r="AU3" i="3"/>
  <c r="CB3" i="3"/>
  <c r="AT3" i="3"/>
  <c r="AW3" i="3"/>
  <c r="AH3" i="3"/>
  <c r="CC3" i="3"/>
  <c r="AG3" i="3"/>
  <c r="CA3" i="3"/>
  <c r="AF3" i="3"/>
  <c r="BI4" i="3"/>
  <c r="CH4" i="3"/>
  <c r="AD4" i="3"/>
  <c r="DF4" i="3"/>
  <c r="CD4" i="3"/>
  <c r="BB4" i="3"/>
  <c r="Z4" i="3"/>
  <c r="BE4" i="3"/>
  <c r="AB4" i="3"/>
  <c r="DG4" i="3"/>
  <c r="DE4" i="3"/>
  <c r="CC4" i="3"/>
  <c r="BA4" i="3"/>
  <c r="CF4" i="3"/>
  <c r="BC4" i="3"/>
  <c r="DD4" i="3"/>
  <c r="CB4" i="3"/>
  <c r="AZ4" i="3"/>
  <c r="Y4" i="3"/>
  <c r="E4" i="3"/>
  <c r="BG4" i="3"/>
  <c r="DC4" i="3"/>
  <c r="CA4" i="3"/>
  <c r="AY4" i="3"/>
  <c r="X4" i="3"/>
  <c r="F4" i="3"/>
  <c r="AG4" i="3"/>
  <c r="CJ4" i="3"/>
  <c r="AF4" i="3"/>
  <c r="DK4" i="3"/>
  <c r="C4" i="3"/>
  <c r="BF4" i="3"/>
  <c r="AC4" i="3"/>
  <c r="DH4" i="3"/>
  <c r="AA4" i="3"/>
  <c r="DB4" i="3"/>
  <c r="BZ4" i="3"/>
  <c r="AX4" i="3"/>
  <c r="V4" i="3"/>
  <c r="BH4" i="3"/>
  <c r="D4" i="3"/>
  <c r="CI4" i="3"/>
  <c r="AE4" i="3"/>
  <c r="DJ4" i="3"/>
  <c r="DI4" i="3"/>
  <c r="CG4" i="3"/>
  <c r="BD4" i="3"/>
  <c r="CE4" i="3"/>
  <c r="DA4" i="3"/>
  <c r="BY4" i="3"/>
  <c r="AW4" i="3"/>
  <c r="BY3" i="3"/>
  <c r="DK3" i="3"/>
  <c r="DD3" i="3"/>
  <c r="BF3" i="3"/>
  <c r="S3" i="3"/>
  <c r="DC3" i="3"/>
  <c r="BE3" i="3"/>
  <c r="R3" i="3"/>
  <c r="DL3" i="3"/>
  <c r="Z3" i="3"/>
  <c r="DB3" i="3"/>
  <c r="BD3" i="3"/>
  <c r="L3" i="3"/>
  <c r="DH3" i="3"/>
  <c r="V3" i="3"/>
  <c r="DA3" i="3"/>
  <c r="BC3" i="3"/>
  <c r="F3" i="3"/>
  <c r="BI3" i="3"/>
  <c r="DF3" i="3"/>
  <c r="T3" i="3"/>
  <c r="CZ3" i="3"/>
  <c r="BB3" i="3"/>
  <c r="E3" i="3"/>
  <c r="AB3" i="3"/>
  <c r="Y3" i="3"/>
  <c r="X3" i="3"/>
  <c r="CY3" i="3"/>
  <c r="BA3" i="3"/>
  <c r="D3" i="3"/>
  <c r="BV3" i="3"/>
  <c r="BH3" i="3"/>
  <c r="CX3" i="3"/>
  <c r="BX3" i="3"/>
  <c r="DJ3" i="3"/>
  <c r="BW3" i="3"/>
  <c r="DI3" i="3"/>
  <c r="BJ3" i="3"/>
  <c r="DE3" i="3"/>
  <c r="BG3" i="3"/>
  <c r="C3" i="3"/>
  <c r="CL3" i="3"/>
  <c r="AY3" i="3"/>
  <c r="BZ3" i="3"/>
  <c r="AA3" i="3"/>
  <c r="DG3" i="3"/>
  <c r="U3" i="3"/>
  <c r="U2" i="3" s="1"/>
  <c r="E24" i="4" s="1"/>
  <c r="AZ3" i="3"/>
  <c r="CK3" i="3"/>
  <c r="AX3" i="3"/>
  <c r="CV3" i="3"/>
  <c r="BT3" i="3"/>
  <c r="AR3" i="3"/>
  <c r="P3" i="3"/>
  <c r="CS3" i="3"/>
  <c r="BQ3" i="3"/>
  <c r="AO3" i="3"/>
  <c r="M3" i="3"/>
  <c r="CT3" i="3"/>
  <c r="N3" i="3"/>
  <c r="BP3" i="3"/>
  <c r="DS3" i="3"/>
  <c r="CQ3" i="3"/>
  <c r="BO3" i="3"/>
  <c r="AM3" i="3"/>
  <c r="K3" i="3"/>
  <c r="BS3" i="3"/>
  <c r="AN3" i="3"/>
  <c r="DR3" i="3"/>
  <c r="CP3" i="3"/>
  <c r="BN3" i="3"/>
  <c r="AL3" i="3"/>
  <c r="J3" i="3"/>
  <c r="CW3" i="3"/>
  <c r="AS3" i="3"/>
  <c r="CU3" i="3"/>
  <c r="AQ3" i="3"/>
  <c r="O3" i="3"/>
  <c r="BR3" i="3"/>
  <c r="AP3" i="3"/>
  <c r="DT3" i="3"/>
  <c r="CR3" i="3"/>
  <c r="DP3" i="3"/>
  <c r="CO3" i="3"/>
  <c r="BM3" i="3"/>
  <c r="AK3" i="3"/>
  <c r="I3" i="3"/>
  <c r="BU3" i="3"/>
  <c r="Q3" i="3"/>
  <c r="BL3" i="3"/>
  <c r="DO3" i="3"/>
  <c r="CN3" i="3"/>
  <c r="AJ3" i="3"/>
  <c r="H3" i="3"/>
  <c r="DN3" i="3"/>
  <c r="CM3" i="3"/>
  <c r="BK3" i="3"/>
  <c r="AI3" i="3"/>
  <c r="DQ2" i="3" l="1"/>
  <c r="DT2" i="3"/>
  <c r="T2" i="3"/>
  <c r="E23" i="4" s="1"/>
  <c r="F23" i="4" s="1"/>
  <c r="BI2" i="3"/>
  <c r="W2" i="3"/>
  <c r="E26" i="4" s="1"/>
  <c r="F26" i="4" s="1"/>
  <c r="CK2" i="3"/>
  <c r="AQ2" i="3"/>
  <c r="CW2" i="3"/>
  <c r="J2" i="3"/>
  <c r="E12" i="4" s="1"/>
  <c r="F12" i="4" s="1"/>
  <c r="AA2" i="3"/>
  <c r="I9" i="4" s="1"/>
  <c r="J9" i="4" s="1"/>
  <c r="BK2" i="3"/>
  <c r="BJ2" i="3"/>
  <c r="BN2" i="3"/>
  <c r="F2" i="3"/>
  <c r="E8" i="4" s="1"/>
  <c r="DN2" i="3"/>
  <c r="E30" i="4" s="1"/>
  <c r="F30" i="4" s="1"/>
  <c r="BP2" i="3"/>
  <c r="CL2" i="3"/>
  <c r="C2" i="3"/>
  <c r="E5" i="4" s="1"/>
  <c r="F5" i="4" s="1"/>
  <c r="BW2" i="3"/>
  <c r="DO2" i="3"/>
  <c r="E31" i="4" s="1"/>
  <c r="F31" i="4" s="1"/>
  <c r="BX2" i="3"/>
  <c r="H2" i="3"/>
  <c r="E10" i="4" s="1"/>
  <c r="F10" i="4" s="1"/>
  <c r="AU2" i="3"/>
  <c r="AV2" i="3"/>
  <c r="E2" i="3"/>
  <c r="E7" i="4" s="1"/>
  <c r="F7" i="4" s="1"/>
  <c r="D2" i="3"/>
  <c r="E6" i="4" s="1"/>
  <c r="F6" i="4" s="1"/>
  <c r="I2" i="3"/>
  <c r="E11" i="4" s="1"/>
  <c r="F11" i="4" s="1"/>
  <c r="BV2" i="3"/>
  <c r="Q2" i="3"/>
  <c r="E20" i="4" s="1"/>
  <c r="F20" i="4" s="1"/>
  <c r="BU2" i="3"/>
  <c r="DR2" i="3"/>
  <c r="E34" i="4" s="1"/>
  <c r="F34" i="4" s="1"/>
  <c r="BS2" i="3"/>
  <c r="AJ2" i="3"/>
  <c r="CP2" i="3"/>
  <c r="DF2" i="3"/>
  <c r="M19" i="4" s="1"/>
  <c r="BM2" i="3"/>
  <c r="I18" i="4" s="1"/>
  <c r="J18" i="4" s="1"/>
  <c r="N2" i="3"/>
  <c r="CG2" i="3"/>
  <c r="AW2" i="3"/>
  <c r="K2" i="3"/>
  <c r="L2" i="3"/>
  <c r="P2" i="3"/>
  <c r="BZ2" i="3"/>
  <c r="BR2" i="3"/>
  <c r="AK2" i="3"/>
  <c r="BT2" i="3"/>
  <c r="I19" i="4" s="1"/>
  <c r="J19" i="4" s="1"/>
  <c r="BL2" i="3"/>
  <c r="AL2" i="3"/>
  <c r="M2" i="3"/>
  <c r="CM2" i="3"/>
  <c r="AN2" i="3"/>
  <c r="DP2" i="3"/>
  <c r="E32" i="4" s="1"/>
  <c r="F32" i="4" s="1"/>
  <c r="O2" i="3"/>
  <c r="CV2" i="3"/>
  <c r="BC2" i="3"/>
  <c r="AF2" i="3"/>
  <c r="CH2" i="3"/>
  <c r="CJ2" i="3"/>
  <c r="CD2" i="3"/>
  <c r="DM2" i="3"/>
  <c r="DK2" i="3"/>
  <c r="AD2" i="3"/>
  <c r="CI2" i="3"/>
  <c r="AC2" i="3"/>
  <c r="CE2" i="3"/>
  <c r="AE2" i="3"/>
  <c r="DU2" i="3"/>
  <c r="DC2" i="3"/>
  <c r="BQ2" i="3"/>
  <c r="R2" i="3"/>
  <c r="CX2" i="3"/>
  <c r="DD2" i="3"/>
  <c r="BA2" i="3"/>
  <c r="DJ2" i="3"/>
  <c r="CF2" i="3"/>
  <c r="CY2" i="3"/>
  <c r="BO2" i="3"/>
  <c r="S2" i="3"/>
  <c r="CS2" i="3"/>
  <c r="M30" i="4" s="1"/>
  <c r="N30" i="4" s="1"/>
  <c r="CN2" i="3"/>
  <c r="M29" i="4" s="1"/>
  <c r="N29" i="4" s="1"/>
  <c r="DE2" i="3"/>
  <c r="DB2" i="3"/>
  <c r="DL2" i="3"/>
  <c r="BE2" i="3"/>
  <c r="CU2" i="3"/>
  <c r="AB2" i="3"/>
  <c r="AH2" i="3"/>
  <c r="M16" i="4" s="1"/>
  <c r="N16" i="4" s="1"/>
  <c r="DS2" i="3"/>
  <c r="B2" i="3"/>
  <c r="AS2" i="3"/>
  <c r="AX2" i="3"/>
  <c r="BB2" i="3"/>
  <c r="AT2" i="3"/>
  <c r="CQ2" i="3"/>
  <c r="BF2" i="3"/>
  <c r="AI2" i="3"/>
  <c r="M17" i="4" s="1"/>
  <c r="N17" i="4" s="1"/>
  <c r="AZ2" i="3"/>
  <c r="CZ2" i="3"/>
  <c r="AM2" i="3"/>
  <c r="V2" i="3"/>
  <c r="CO2" i="3"/>
  <c r="BH2" i="3"/>
  <c r="CC2" i="3"/>
  <c r="DG2" i="3"/>
  <c r="M20" i="4" s="1"/>
  <c r="CR2" i="3"/>
  <c r="AP2" i="3"/>
  <c r="CT2" i="3"/>
  <c r="AO2" i="3"/>
  <c r="AR2" i="3"/>
  <c r="AG2" i="3"/>
  <c r="CA2" i="3"/>
  <c r="BY2" i="3"/>
  <c r="X2" i="3"/>
  <c r="DH2" i="3"/>
  <c r="BD2" i="3"/>
  <c r="Y2" i="3"/>
  <c r="I6" i="4" s="1"/>
  <c r="DI2" i="3"/>
  <c r="CB2" i="3"/>
  <c r="AY2" i="3"/>
  <c r="BG2" i="3"/>
  <c r="DA2" i="3"/>
  <c r="Z2" i="3"/>
  <c r="I7" i="4" s="1"/>
  <c r="F24" i="4"/>
  <c r="F9" i="4"/>
  <c r="M28" i="4" l="1"/>
  <c r="N28" i="4" s="1"/>
  <c r="I24" i="4"/>
  <c r="J24" i="4" s="1"/>
  <c r="M15" i="4"/>
  <c r="N15" i="4" s="1"/>
  <c r="M14" i="4"/>
  <c r="N14" i="4" s="1"/>
  <c r="M23" i="4"/>
  <c r="N23" i="4" s="1"/>
  <c r="M21" i="4"/>
  <c r="N21" i="4" s="1"/>
  <c r="M22" i="4"/>
  <c r="N22" i="4" s="1"/>
  <c r="M24" i="4"/>
  <c r="N24" i="4" s="1"/>
  <c r="N20" i="4"/>
  <c r="N19" i="4"/>
  <c r="M27" i="4"/>
  <c r="N27" i="4" s="1"/>
  <c r="M7" i="4"/>
  <c r="N7" i="4" s="1"/>
  <c r="M5" i="4"/>
  <c r="N5" i="4" s="1"/>
  <c r="M13" i="4"/>
  <c r="N13" i="4" s="1"/>
  <c r="I16" i="4"/>
  <c r="J16" i="4" s="1"/>
  <c r="I15" i="4"/>
  <c r="J15" i="4" s="1"/>
  <c r="M26" i="4"/>
  <c r="N26" i="4" s="1"/>
  <c r="M12" i="4"/>
  <c r="N12" i="4" s="1"/>
  <c r="M9" i="4"/>
  <c r="N9" i="4" s="1"/>
  <c r="M10" i="4"/>
  <c r="N10" i="4" s="1"/>
  <c r="M6" i="4"/>
  <c r="N6" i="4" s="1"/>
  <c r="I25" i="4"/>
  <c r="J25" i="4" s="1"/>
  <c r="M11" i="4"/>
  <c r="N11" i="4" s="1"/>
  <c r="M8" i="4"/>
  <c r="N8" i="4" s="1"/>
  <c r="I26" i="4"/>
  <c r="J26" i="4" s="1"/>
  <c r="I17" i="4"/>
  <c r="J17" i="4" s="1"/>
  <c r="E21" i="4"/>
  <c r="F21" i="4" s="1"/>
  <c r="E25" i="4"/>
  <c r="F25" i="4" s="1"/>
  <c r="E17" i="4"/>
  <c r="F17" i="4" s="1"/>
  <c r="I10" i="4"/>
  <c r="J10" i="4" s="1"/>
  <c r="E14" i="4"/>
  <c r="F14" i="4" s="1"/>
  <c r="E28" i="4"/>
  <c r="F28" i="4" s="1"/>
  <c r="E15" i="4"/>
  <c r="F15" i="4" s="1"/>
  <c r="I13" i="4"/>
  <c r="J13" i="4" s="1"/>
  <c r="I11" i="4"/>
  <c r="J11" i="4" s="1"/>
  <c r="I12" i="4"/>
  <c r="J12" i="4" s="1"/>
  <c r="E18" i="4"/>
  <c r="F18" i="4" s="1"/>
  <c r="E19" i="4"/>
  <c r="F19" i="4" s="1"/>
  <c r="E16" i="4"/>
  <c r="F16" i="4" s="1"/>
  <c r="E35" i="4"/>
  <c r="F35" i="4" s="1"/>
  <c r="E29" i="4"/>
  <c r="F29" i="4" s="1"/>
  <c r="I5" i="4"/>
  <c r="J5" i="4" s="1"/>
  <c r="E22" i="4"/>
  <c r="F22" i="4" s="1"/>
  <c r="E33" i="4"/>
  <c r="F33" i="4" s="1"/>
  <c r="J6" i="4"/>
  <c r="J7" i="4"/>
  <c r="F8" i="4"/>
</calcChain>
</file>

<file path=xl/sharedStrings.xml><?xml version="1.0" encoding="utf-8"?>
<sst xmlns="http://schemas.openxmlformats.org/spreadsheetml/2006/main" count="632" uniqueCount="269">
  <si>
    <t>Quel´Dorei</t>
  </si>
  <si>
    <t>Man´Ari</t>
  </si>
  <si>
    <t>Huargen</t>
  </si>
  <si>
    <t>Elfo de Vacio</t>
  </si>
  <si>
    <t>No-muerto</t>
  </si>
  <si>
    <t>Ogro</t>
  </si>
  <si>
    <t>Elfo de sangre</t>
  </si>
  <si>
    <t>Nocheterna</t>
  </si>
  <si>
    <t>Pandaren</t>
  </si>
  <si>
    <t>Vulpera</t>
  </si>
  <si>
    <t>Dracthyr</t>
  </si>
  <si>
    <t>Vigor</t>
  </si>
  <si>
    <t>Destreza</t>
  </si>
  <si>
    <t>Inteligencia</t>
  </si>
  <si>
    <t>Voluntad</t>
  </si>
  <si>
    <t>Percepción</t>
  </si>
  <si>
    <t>Aguante</t>
  </si>
  <si>
    <t>Energía</t>
  </si>
  <si>
    <t>Atletismo</t>
  </si>
  <si>
    <t>Sigilo</t>
  </si>
  <si>
    <t>juego de manos</t>
  </si>
  <si>
    <t>Subsistencia</t>
  </si>
  <si>
    <t>Buscar</t>
  </si>
  <si>
    <t>Alerta</t>
  </si>
  <si>
    <t>Aprendizaje</t>
  </si>
  <si>
    <t>Interpretación</t>
  </si>
  <si>
    <t>Subterfugio</t>
  </si>
  <si>
    <t>Trato con animales</t>
  </si>
  <si>
    <t>Intimidación</t>
  </si>
  <si>
    <t>Carisma</t>
  </si>
  <si>
    <t>Parada</t>
  </si>
  <si>
    <t>Esquivar</t>
  </si>
  <si>
    <t>Metamagia</t>
  </si>
  <si>
    <t>Taumaturgia</t>
  </si>
  <si>
    <t>Fe</t>
  </si>
  <si>
    <t>Espiritualidad</t>
  </si>
  <si>
    <t>Naturaleza</t>
  </si>
  <si>
    <t>Corrupción</t>
  </si>
  <si>
    <t>Espadas de una mano</t>
  </si>
  <si>
    <t>Espadas de dos manos</t>
  </si>
  <si>
    <t>Mazas de una mano</t>
  </si>
  <si>
    <t>Mazas de dos manos</t>
  </si>
  <si>
    <t>Hachas de una mano</t>
  </si>
  <si>
    <t>Hachas de dos manos</t>
  </si>
  <si>
    <t>Arcos</t>
  </si>
  <si>
    <t>Armas de fuego</t>
  </si>
  <si>
    <t>Armas arrojadizas</t>
  </si>
  <si>
    <t>Ballestas</t>
  </si>
  <si>
    <t>Bastones</t>
  </si>
  <si>
    <t>Varitas</t>
  </si>
  <si>
    <t>Dagas</t>
  </si>
  <si>
    <t>Armas de puño</t>
  </si>
  <si>
    <t>Armas de asta</t>
  </si>
  <si>
    <t>Gujas de guerra</t>
  </si>
  <si>
    <t>Escudo</t>
  </si>
  <si>
    <t>Sin Armas</t>
  </si>
  <si>
    <t>Arcanismo</t>
  </si>
  <si>
    <t>Piromancia</t>
  </si>
  <si>
    <t>Criomancia</t>
  </si>
  <si>
    <t>Nigromancia</t>
  </si>
  <si>
    <t>Magia Rúnica</t>
  </si>
  <si>
    <t>Demonología</t>
  </si>
  <si>
    <t>Piromancia vil</t>
  </si>
  <si>
    <t>Magia sangrienta</t>
  </si>
  <si>
    <t>Magia de la sombra</t>
  </si>
  <si>
    <t>Magia druidica: Feral</t>
  </si>
  <si>
    <t>Magia druidica: Equilibrio</t>
  </si>
  <si>
    <t>Magia druidica: Vida</t>
  </si>
  <si>
    <t>Magia elemental: Agua</t>
  </si>
  <si>
    <t>Magia elemental: Fuego</t>
  </si>
  <si>
    <t>Magia elemental: Tierra</t>
  </si>
  <si>
    <t>Magia elemental: Aire</t>
  </si>
  <si>
    <t>Chi</t>
  </si>
  <si>
    <t>Maestro de armas</t>
  </si>
  <si>
    <t>Furibundo</t>
  </si>
  <si>
    <t>Protector</t>
  </si>
  <si>
    <t>Puntería</t>
  </si>
  <si>
    <t>Supervivencia</t>
  </si>
  <si>
    <t>Maestro de bestias</t>
  </si>
  <si>
    <t>A.A.M.M Maestro cervecero</t>
  </si>
  <si>
    <t>A.A.M.M. Caminavientos</t>
  </si>
  <si>
    <t>Asesinato</t>
  </si>
  <si>
    <t>Sutileza</t>
  </si>
  <si>
    <t>Forajido</t>
  </si>
  <si>
    <t>Protector sagrado</t>
  </si>
  <si>
    <t>Represión</t>
  </si>
  <si>
    <t>Devastación</t>
  </si>
  <si>
    <t>Venganza</t>
  </si>
  <si>
    <t>Caballero sangriento</t>
  </si>
  <si>
    <t>Caballero de hielo</t>
  </si>
  <si>
    <t>Caballero profano</t>
  </si>
  <si>
    <t>Evocación: Rojo</t>
  </si>
  <si>
    <t>Evocación: Verde</t>
  </si>
  <si>
    <t>Evocación: Azul</t>
  </si>
  <si>
    <t>Evocación: Bronce</t>
  </si>
  <si>
    <t>Evocación: Negro</t>
  </si>
  <si>
    <t>Alquimia</t>
  </si>
  <si>
    <t>Sastrería</t>
  </si>
  <si>
    <t>Desuello</t>
  </si>
  <si>
    <t>Carpintería</t>
  </si>
  <si>
    <t>Herboristería</t>
  </si>
  <si>
    <t>Encantamiento</t>
  </si>
  <si>
    <t>Herrería</t>
  </si>
  <si>
    <t>Inscripción</t>
  </si>
  <si>
    <t>Ingeniería</t>
  </si>
  <si>
    <t>Joyería</t>
  </si>
  <si>
    <t>Leñador</t>
  </si>
  <si>
    <t>Minería</t>
  </si>
  <si>
    <t>Peleteria</t>
  </si>
  <si>
    <t>Granjero</t>
  </si>
  <si>
    <t>Bardo</t>
  </si>
  <si>
    <t>Marinero</t>
  </si>
  <si>
    <t>Mercader</t>
  </si>
  <si>
    <t>Cazarrecompensas</t>
  </si>
  <si>
    <t>Criador de Animales</t>
  </si>
  <si>
    <t>Equitación</t>
  </si>
  <si>
    <t>Pesca</t>
  </si>
  <si>
    <t>Arqueología</t>
  </si>
  <si>
    <t>Medicina</t>
  </si>
  <si>
    <t>Cocina</t>
  </si>
  <si>
    <t>Conocimiento de la magia</t>
  </si>
  <si>
    <t>Resistencia fisica</t>
  </si>
  <si>
    <t>Resistencia al fuego</t>
  </si>
  <si>
    <t>Resistencia al frio</t>
  </si>
  <si>
    <t>Resistencia a la sombra</t>
  </si>
  <si>
    <t>Resistencia a la naturaleza</t>
  </si>
  <si>
    <t>Resistencia a la luz</t>
  </si>
  <si>
    <t>Total</t>
  </si>
  <si>
    <t>Visión en la oscuridad</t>
  </si>
  <si>
    <t>Visión en la penumbra</t>
  </si>
  <si>
    <t>Goblin</t>
  </si>
  <si>
    <t>Guerrero</t>
  </si>
  <si>
    <t>Cazador</t>
  </si>
  <si>
    <t>Chaman</t>
  </si>
  <si>
    <t>Mago</t>
  </si>
  <si>
    <t>Brujo</t>
  </si>
  <si>
    <t>Sacerdote</t>
  </si>
  <si>
    <t>Paladin</t>
  </si>
  <si>
    <t>Pícaro</t>
  </si>
  <si>
    <t>Druida</t>
  </si>
  <si>
    <t>Caballero de la muerte</t>
  </si>
  <si>
    <t>Cazador de demonios</t>
  </si>
  <si>
    <t>Evocador</t>
  </si>
  <si>
    <t>Monje</t>
  </si>
  <si>
    <t>Dominio de la luz</t>
  </si>
  <si>
    <t>Atributos</t>
  </si>
  <si>
    <t>Habilidades</t>
  </si>
  <si>
    <t>Magia</t>
  </si>
  <si>
    <t>Armas</t>
  </si>
  <si>
    <t>Estilos</t>
  </si>
  <si>
    <t>Profesiones</t>
  </si>
  <si>
    <t>Conocimientos</t>
  </si>
  <si>
    <t>Resistencias</t>
  </si>
  <si>
    <t>Bono</t>
  </si>
  <si>
    <t>Humano de Ventormenta</t>
  </si>
  <si>
    <t>Humano de Strom</t>
  </si>
  <si>
    <t>Humano de Lordaeron</t>
  </si>
  <si>
    <t>Humano de Dalaran</t>
  </si>
  <si>
    <t>Humano de Gilneas</t>
  </si>
  <si>
    <t>Humano de Kul Tiras</t>
  </si>
  <si>
    <t>Humano de Alterac</t>
  </si>
  <si>
    <t>Enano Barbabronce</t>
  </si>
  <si>
    <t>Enano Martillo Salvaje</t>
  </si>
  <si>
    <t>Enano Hierro Negro</t>
  </si>
  <si>
    <t>Gnomo de Gnomeregan</t>
  </si>
  <si>
    <t>Elfo de la noche Danassiano</t>
  </si>
  <si>
    <t>Elfos de la noche Altonato</t>
  </si>
  <si>
    <t>Draenei Exiliado (draenei puro)</t>
  </si>
  <si>
    <t>Draenei Forjado por la luz</t>
  </si>
  <si>
    <t>Orco de Durotar</t>
  </si>
  <si>
    <t>Orco Mag´Har</t>
  </si>
  <si>
    <t>Troll Lanza negra</t>
  </si>
  <si>
    <t>Troll Zandalari</t>
  </si>
  <si>
    <t>Troll Farraki</t>
  </si>
  <si>
    <t>Troll Gurubashi</t>
  </si>
  <si>
    <t>Troll Amani</t>
  </si>
  <si>
    <t>Troll Drakkari</t>
  </si>
  <si>
    <t>Tauren de Mulgore</t>
  </si>
  <si>
    <t>Tauren Monte Alto</t>
  </si>
  <si>
    <t>Defensas</t>
  </si>
  <si>
    <t>Puntos de trasfondo</t>
  </si>
  <si>
    <t>Puntos de Atributo</t>
  </si>
  <si>
    <t>Puntos de estilos y magias</t>
  </si>
  <si>
    <t>Puntos de Armas</t>
  </si>
  <si>
    <t>Puntos de Magia</t>
  </si>
  <si>
    <t>Puntos de Defensa</t>
  </si>
  <si>
    <t>Puntos de Habilidades</t>
  </si>
  <si>
    <t>Puntos de Profesiones</t>
  </si>
  <si>
    <t>Puntos de conocimientos</t>
  </si>
  <si>
    <t>Conversión de puntos</t>
  </si>
  <si>
    <t>Primera vez</t>
  </si>
  <si>
    <t>Puntos base</t>
  </si>
  <si>
    <t>Historial</t>
  </si>
  <si>
    <t>Caos</t>
  </si>
  <si>
    <t>Nivel</t>
  </si>
  <si>
    <t>Puntos de Trasfondo</t>
  </si>
  <si>
    <t>Raza</t>
  </si>
  <si>
    <t>Clase</t>
  </si>
  <si>
    <t>Puntos de trasfondo por nivel</t>
  </si>
  <si>
    <t>Cambio de puntos</t>
  </si>
  <si>
    <t>Precio normal</t>
  </si>
  <si>
    <t>Precio primera vez</t>
  </si>
  <si>
    <t>Puntos de Armas*</t>
  </si>
  <si>
    <t>Diplomacia</t>
  </si>
  <si>
    <t>Acrobacias</t>
  </si>
  <si>
    <t>Parada y Bloqueo</t>
  </si>
  <si>
    <t>* Si tu personaje no usa magia usa el botón Sin Magia para trasladar el punto de magia a Armas **</t>
  </si>
  <si>
    <t>** Si te has equivocado dale al botón Con magia para arreglarlo (no disponible una vez terminada la ficha y subir niveles)</t>
  </si>
  <si>
    <t>***No puedes cambiar de Raza o Clase tras terminar la ficha. Se interpreta que has terminado la ficha al subir al nivel 2</t>
  </si>
  <si>
    <t>Resistencia a lo arcano</t>
  </si>
  <si>
    <t>Total raciales activas:</t>
  </si>
  <si>
    <t>"+1 en dos profesiones seleccionadas"</t>
  </si>
  <si>
    <t>"+1 en tiradas de subsistencia en situaciones de pérdida de control"</t>
  </si>
  <si>
    <t>"+1 extra en una de las profesiones ya seleccionadas."</t>
  </si>
  <si>
    <t>"Fiereza guerrera: durante los siguientes tres turnos ganas +2 en tiradas de ataque y daño."</t>
  </si>
  <si>
    <t>"Puñetazo fuerte: aturde y desplaza al objetivo hacia atrás hasta 3 metros."</t>
  </si>
  <si>
    <t>"Forma de piedra: en el siguiente turno ignora todo el daño. "</t>
  </si>
  <si>
    <t>"Búsqueda de tesoros, al usar esta habilidad el narrador debe facilitarle información acerca de tesoros cercanos y como encontrarlo."</t>
  </si>
  <si>
    <t>"Sangrardiente: elimina los efectos dañinos y aumenta el vigor la destreza y las habilidades mágicas en 1 durante 2 turnos."</t>
  </si>
  <si>
    <t>"Compañero grifo: los enanos martillo salvaje tienen un compañero grifo y la habilidad para montarlo."</t>
  </si>
  <si>
    <t>"Martillo de tormentas: puede arrojar su maza contra un enemigo y aturdirlo durante un turno, la maza regresa a la mano tras el impacto."</t>
  </si>
  <si>
    <t>"+1 en velocidad en cuevas e interiores"</t>
  </si>
  <si>
    <t>"+1 en velocidad en zonas montañosas."</t>
  </si>
  <si>
    <t>"+2 en destreza para librarse de trampas y ataduras."</t>
  </si>
  <si>
    <t>"Hologramas: Crea duplicados de luz sólida que mientras esté activo gana +5 en esquivar."</t>
  </si>
  <si>
    <t>"Mano de herramientas: Seleccionar de la lista de herramientas de mano cuatro herramientas para incorporar en su brazo."</t>
  </si>
  <si>
    <t>"Fusión con las sombras: +2 en sigilo en zonas de oscuridad o penumbra."</t>
  </si>
  <si>
    <t>"Arte noble: los objetos fabricados obtienen un nivel de calidad más."</t>
  </si>
  <si>
    <t>"Ofrenda de los Naruu: gasta un punto de energía y lanza una sanación gratuita 1D6 y obtienen +1 en magia de luz durante dos turnos."</t>
  </si>
  <si>
    <t>"+2 en voluntad a sí mismo y +1 en voluntad a los aliados cercanos."</t>
  </si>
  <si>
    <t>"Forja de luz: los objetos fabricados por los draenei obtienen un encantamiento relacionado con la luz."</t>
  </si>
  <si>
    <t>"Expiación de la luz: al ser derrotado infringe daño a los enemigos, sana 1D4 a los aliados cercanos."</t>
  </si>
  <si>
    <t>"Matademonios:+3 de daño contra demonios."</t>
  </si>
  <si>
    <t>"Sentencia de la luz: Infringe 1D10 de daño sagrado en área cilíndrica."</t>
  </si>
  <si>
    <t>"Autoridad demoníaca:
puede dar órdenes a demonios de menor rango.</t>
  </si>
  <si>
    <t>Gnomo de Mecandria</t>
  </si>
  <si>
    <t>Resistencia a lo vil</t>
  </si>
  <si>
    <t>·En forma huargen obtiene +2 en vigor, -2 en carisma, +1 en percepción +1 en combate sin armas, +2 de atletismo, Visión en la oscuridad.
Un huargen puede correr como un corcel.
En forma humana se aplican las raciales humanas de origen (ver humano).</t>
  </si>
  <si>
    <t>"Falla espacial: abre un portal a un máximo de 100 metros."</t>
  </si>
  <si>
    <t xml:space="preserve">Abrazo entrópico: Cada vez que el elfo del vacio usa una facultad tira un dado de 10 con una dificultad de 8 si la supera obtendrá un bonificador en daño y curación en +2 en el siguiente turno, si esto ocurre no podrá beneficiarse de esta habilidad en los 3 turnos posteriores. </t>
  </si>
  <si>
    <t>Furia sanguinaria: +2 de vigor durante 3 turnos, gasta 1 punto de energía por turno activo.</t>
  </si>
  <si>
    <t xml:space="preserve">Invocar ancestros: Tira 3 dados de 10 habiendo de superar 4 obtendrás uno de los tres beneficios a elegir: +2 en Vigor.+2 en destreza.+2 en habilidades mágicas.Si obtienes dos éxitos puedes elegir dos, y si obtienes tres éxitos los obtendrás todos.Esta habilidad solo puede ser utilizada una vez por día. </t>
  </si>
  <si>
    <t>Rabiar: Una vez por combate puede realizar dos acciones ofensivas en el mismo turno durante tres rondas, el daño directo puede alargar el efecto.</t>
  </si>
  <si>
    <t>Regeneración: pasivamente un trol puede regenerarse 1p. de salud por turno.</t>
  </si>
  <si>
    <t>Bendición de Lukoa: aumanta la regeneración de salud fuera de combate.</t>
  </si>
  <si>
    <t>Regeneración Zandalari</t>
  </si>
  <si>
    <t>Pisotón de guerra:</t>
  </si>
  <si>
    <t>Embestida astada:</t>
  </si>
  <si>
    <t>+2 de voluntad frente a embelesamientos o intentos de control mental.</t>
  </si>
  <si>
    <t>No sufren penalizaciones de respiración.</t>
  </si>
  <si>
    <t>penalización en tiradas en -2 en inteligencia</t>
  </si>
  <si>
    <t>Puño aturdidor: aturde al objetivo durante 2 turnos.</t>
  </si>
  <si>
    <t>Tromba de cohetes:</t>
  </si>
  <si>
    <t>+2 de Diplomacia para obtener descuentos.</t>
  </si>
  <si>
    <t>Torrente arcano: lanza un área que silencia a los enemigos durante un turno.</t>
  </si>
  <si>
    <t>Escudo de fuerza: Crea un área arcana que hace 1D6 de daño y repele a los enemigos durante 1 turno.</t>
  </si>
  <si>
    <t>mullido: reduce daño contundente a la mitad.</t>
  </si>
  <si>
    <t>+1 en habilidades físicas si está bien alimentado.</t>
  </si>
  <si>
    <t>Planear: en mitad de una caída un Dracthyr puede desplegar las alas para evitar recibir daño de caída.</t>
  </si>
  <si>
    <t>Flagelo de cola: Golpe de cola a distancia cuerpo a cuerpo que hace 1D6 de daño a los enemigos que rodeen al Dracthyr.</t>
  </si>
  <si>
    <t>Rostro: Capacidad de cambiar de forma entre forma dracónica y una forma humana.</t>
  </si>
  <si>
    <t>Potente sacudida de alas que repele a los enemigos frente al Dracthyr 1D6 metros</t>
  </si>
  <si>
    <t>Sacudida de alas:Potente sacudida de alas que repele a los enemigos frente al Dracthyr 1D6 metros</t>
  </si>
  <si>
    <t>Bolsa de trucos:</t>
  </si>
  <si>
    <t>Hurgar:</t>
  </si>
  <si>
    <t>H9;R8;1,H9;R8;1,H9;R8;1,H9;R8;1,H9;R8;1,H9;R4;3,</t>
  </si>
  <si>
    <t>L5;R11;1,L5;R11;1,L6;R11;1,L6;R11;1,L6;R11;1,L5;R11;1,L6;R11;1,L6;R11;1,L6;R11;1,L9;R11;1,</t>
  </si>
  <si>
    <t>Velocidad</t>
  </si>
  <si>
    <t>Escuelas de Magia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</si>
</sst>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7" tint="0.3999755851924192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theme="6" tint="-0.499984740745262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1"/>
      <color theme="6" tint="0.39997558519241921"/>
      <name val="Aptos Narrow"/>
      <family val="2"/>
      <scheme val="minor"/>
    </font>
    <font>
      <sz val="11"/>
      <color theme="5" tint="-0.499984740745262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5FB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84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887081514938816E-2"/>
      </left>
      <right/>
      <top style="thin">
        <color theme="2" tint="-9.9887081514938816E-2"/>
      </top>
      <bottom style="thin">
        <color theme="2" tint="-9.9887081514938816E-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85656300546282E-2"/>
      </left>
      <right/>
      <top style="thin">
        <color theme="2" tint="-9.985656300546282E-2"/>
      </top>
      <bottom style="thin">
        <color theme="2" tint="-9.985656300546282E-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 style="thin">
        <color theme="2" tint="-9.9917600024414813E-2"/>
      </left>
      <right/>
      <top style="thin">
        <color theme="2" tint="-9.9917600024414813E-2"/>
      </top>
      <bottom/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2" tint="-9.9887081514938816E-2"/>
      </top>
      <bottom/>
      <diagonal/>
    </border>
    <border>
      <left style="thin">
        <color theme="2" tint="-9.9887081514938816E-2"/>
      </left>
      <right/>
      <top style="thin">
        <color theme="2" tint="-9.9887081514938816E-2"/>
      </top>
      <bottom/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2" tint="-9.985656300546282E-2"/>
      </top>
      <bottom/>
      <diagonal/>
    </border>
    <border>
      <left style="thin">
        <color theme="2" tint="-9.985656300546282E-2"/>
      </left>
      <right/>
      <top style="thin">
        <color theme="2" tint="-9.985656300546282E-2"/>
      </top>
      <bottom/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2" tint="-9.982604449598681E-2"/>
      </top>
      <bottom/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2" tint="-9.9795525986510814E-2"/>
      </top>
      <bottom/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2" tint="-9.9948118533890809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9.9887081514938816E-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749961851863155"/>
      </left>
      <right/>
      <top/>
      <bottom/>
      <diagonal/>
    </border>
    <border>
      <left/>
      <right/>
      <top style="thin">
        <color theme="2" tint="-9.982604449598681E-2"/>
      </top>
      <bottom style="thin">
        <color theme="2" tint="-9.982604449598681E-2"/>
      </bottom>
      <diagonal/>
    </border>
    <border>
      <left/>
      <right style="thin">
        <color theme="2" tint="-9.982604449598681E-2"/>
      </right>
      <top style="thin">
        <color theme="2" tint="-9.982604449598681E-2"/>
      </top>
      <bottom style="thin">
        <color theme="2" tint="-9.982604449598681E-2"/>
      </bottom>
      <diagonal/>
    </border>
    <border>
      <left style="thin">
        <color theme="2" tint="-9.9795525986510814E-2"/>
      </left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 style="thin">
        <color theme="2" tint="-9.9795525986510814E-2"/>
      </top>
      <bottom style="thin">
        <color theme="2" tint="-9.9795525986510814E-2"/>
      </bottom>
      <diagonal/>
    </border>
    <border>
      <left/>
      <right style="thin">
        <color theme="2" tint="-9.9795525986510814E-2"/>
      </right>
      <top style="thin">
        <color theme="2" tint="-9.9795525986510814E-2"/>
      </top>
      <bottom style="thin">
        <color theme="2" tint="-9.9795525986510814E-2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887081514938816E-2"/>
      </left>
      <right style="thin">
        <color theme="2" tint="-9.9887081514938816E-2"/>
      </right>
      <top/>
      <bottom style="thin">
        <color theme="2" tint="-9.9887081514938816E-2"/>
      </bottom>
      <diagonal/>
    </border>
    <border>
      <left style="thin">
        <color theme="2" tint="-9.9887081514938816E-2"/>
      </left>
      <right/>
      <top/>
      <bottom style="thin">
        <color theme="2" tint="-9.9887081514938816E-2"/>
      </bottom>
      <diagonal/>
    </border>
    <border>
      <left style="thin">
        <color theme="2" tint="-9.985656300546282E-2"/>
      </left>
      <right style="thin">
        <color theme="2" tint="-9.985656300546282E-2"/>
      </right>
      <top/>
      <bottom style="thin">
        <color theme="2" tint="-9.985656300546282E-2"/>
      </bottom>
      <diagonal/>
    </border>
    <border>
      <left style="thin">
        <color theme="2" tint="-9.985656300546282E-2"/>
      </left>
      <right/>
      <top/>
      <bottom style="thin">
        <color theme="2" tint="-9.985656300546282E-2"/>
      </bottom>
      <diagonal/>
    </border>
    <border>
      <left style="thin">
        <color theme="2" tint="-9.982604449598681E-2"/>
      </left>
      <right style="thin">
        <color theme="2" tint="-9.982604449598681E-2"/>
      </right>
      <top/>
      <bottom style="thin">
        <color theme="2" tint="-9.982604449598681E-2"/>
      </bottom>
      <diagonal/>
    </border>
    <border>
      <left style="thin">
        <color theme="2" tint="-9.9795525986510814E-2"/>
      </left>
      <right style="thin">
        <color theme="2" tint="-9.9795525986510814E-2"/>
      </right>
      <top/>
      <bottom style="thin">
        <color theme="2" tint="-9.9795525986510814E-2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0.24994659260841701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1" tint="0.499984740745262"/>
      </top>
      <bottom style="thin">
        <color indexed="64"/>
      </bottom>
      <diagonal/>
    </border>
    <border>
      <left style="thin">
        <color theme="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48118533890809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917600024414813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 style="thin">
        <color theme="2" tint="-9.9887081514938816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87081514938816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 style="thin">
        <color theme="2" tint="-9.985656300546282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85656300546282E-2"/>
      </left>
      <right/>
      <top style="thin">
        <color theme="1" tint="0.499984740745262"/>
      </top>
      <bottom style="thin">
        <color indexed="64"/>
      </bottom>
      <diagonal/>
    </border>
    <border>
      <left style="thin">
        <color theme="2" tint="-9.982604449598681E-2"/>
      </left>
      <right style="thin">
        <color theme="2" tint="-9.982604449598681E-2"/>
      </right>
      <top style="thin">
        <color theme="1" tint="0.499984740745262"/>
      </top>
      <bottom style="thin">
        <color indexed="64"/>
      </bottom>
      <diagonal/>
    </border>
    <border>
      <left style="thin">
        <color theme="2" tint="-9.9795525986510814E-2"/>
      </left>
      <right style="thin">
        <color theme="2" tint="-9.9795525986510814E-2"/>
      </right>
      <top style="thin">
        <color theme="1" tint="0.499984740745262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 applyAlignment="1">
      <alignment textRotation="90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3" xfId="0" applyFill="1" applyBorder="1" applyAlignment="1">
      <alignment textRotation="90"/>
    </xf>
    <xf numFmtId="0" fontId="0" fillId="3" borderId="3" xfId="0" applyFill="1" applyBorder="1" applyAlignment="1">
      <alignment textRotation="90"/>
    </xf>
    <xf numFmtId="0" fontId="0" fillId="4" borderId="3" xfId="0" applyFill="1" applyBorder="1" applyAlignment="1">
      <alignment textRotation="90"/>
    </xf>
    <xf numFmtId="0" fontId="0" fillId="5" borderId="3" xfId="0" applyFill="1" applyBorder="1" applyAlignment="1">
      <alignment textRotation="90"/>
    </xf>
    <xf numFmtId="0" fontId="0" fillId="6" borderId="3" xfId="0" applyFill="1" applyBorder="1" applyAlignment="1">
      <alignment textRotation="90"/>
    </xf>
    <xf numFmtId="0" fontId="0" fillId="2" borderId="4" xfId="0" applyFill="1" applyBorder="1"/>
    <xf numFmtId="0" fontId="0" fillId="3" borderId="4" xfId="0" applyFill="1" applyBorder="1"/>
    <xf numFmtId="0" fontId="0" fillId="4" borderId="4" xfId="0" applyFill="1" applyBorder="1"/>
    <xf numFmtId="0" fontId="0" fillId="5" borderId="4" xfId="0" applyFill="1" applyBorder="1"/>
    <xf numFmtId="0" fontId="0" fillId="6" borderId="4" xfId="0" applyFill="1" applyBorder="1"/>
    <xf numFmtId="0" fontId="0" fillId="0" borderId="2" xfId="0" applyBorder="1"/>
    <xf numFmtId="0" fontId="0" fillId="6" borderId="6" xfId="0" applyFill="1" applyBorder="1" applyAlignment="1">
      <alignment textRotation="90"/>
    </xf>
    <xf numFmtId="0" fontId="0" fillId="6" borderId="7" xfId="0" applyFill="1" applyBorder="1"/>
    <xf numFmtId="0" fontId="0" fillId="6" borderId="8" xfId="0" applyFill="1" applyBorder="1"/>
    <xf numFmtId="0" fontId="0" fillId="7" borderId="5" xfId="0" applyFill="1" applyBorder="1"/>
    <xf numFmtId="0" fontId="0" fillId="7" borderId="10" xfId="0" applyFill="1" applyBorder="1" applyAlignment="1">
      <alignment textRotation="90"/>
    </xf>
    <xf numFmtId="0" fontId="0" fillId="7" borderId="9" xfId="0" applyFill="1" applyBorder="1"/>
    <xf numFmtId="0" fontId="0" fillId="7" borderId="11" xfId="0" applyFill="1" applyBorder="1" applyAlignment="1">
      <alignment textRotation="90"/>
    </xf>
    <xf numFmtId="0" fontId="0" fillId="7" borderId="1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6" xfId="0" applyFill="1" applyBorder="1"/>
    <xf numFmtId="0" fontId="0" fillId="9" borderId="15" xfId="0" applyFill="1" applyBorder="1"/>
    <xf numFmtId="0" fontId="0" fillId="9" borderId="18" xfId="0" applyFill="1" applyBorder="1"/>
    <xf numFmtId="0" fontId="0" fillId="10" borderId="17" xfId="0" applyFill="1" applyBorder="1"/>
    <xf numFmtId="0" fontId="0" fillId="10" borderId="20" xfId="0" applyFill="1" applyBorder="1"/>
    <xf numFmtId="0" fontId="0" fillId="3" borderId="19" xfId="0" applyFill="1" applyBorder="1"/>
    <xf numFmtId="0" fontId="0" fillId="3" borderId="22" xfId="0" applyFill="1" applyBorder="1"/>
    <xf numFmtId="0" fontId="0" fillId="6" borderId="21" xfId="0" applyFill="1" applyBorder="1"/>
    <xf numFmtId="0" fontId="0" fillId="11" borderId="23" xfId="0" applyFill="1" applyBorder="1"/>
    <xf numFmtId="0" fontId="0" fillId="8" borderId="24" xfId="0" applyFill="1" applyBorder="1" applyAlignment="1">
      <alignment textRotation="90"/>
    </xf>
    <xf numFmtId="0" fontId="0" fillId="8" borderId="25" xfId="0" applyFill="1" applyBorder="1" applyAlignment="1">
      <alignment textRotation="90"/>
    </xf>
    <xf numFmtId="0" fontId="0" fillId="9" borderId="26" xfId="0" applyFill="1" applyBorder="1" applyAlignment="1">
      <alignment textRotation="90"/>
    </xf>
    <xf numFmtId="0" fontId="0" fillId="9" borderId="27" xfId="0" applyFill="1" applyBorder="1" applyAlignment="1">
      <alignment textRotation="90"/>
    </xf>
    <xf numFmtId="0" fontId="0" fillId="10" borderId="28" xfId="0" applyFill="1" applyBorder="1" applyAlignment="1">
      <alignment textRotation="90"/>
    </xf>
    <xf numFmtId="0" fontId="0" fillId="10" borderId="29" xfId="0" applyFill="1" applyBorder="1" applyAlignment="1">
      <alignment textRotation="90"/>
    </xf>
    <xf numFmtId="0" fontId="0" fillId="3" borderId="30" xfId="0" applyFill="1" applyBorder="1" applyAlignment="1">
      <alignment textRotation="90"/>
    </xf>
    <xf numFmtId="0" fontId="0" fillId="3" borderId="31" xfId="0" applyFill="1" applyBorder="1" applyAlignment="1">
      <alignment textRotation="90"/>
    </xf>
    <xf numFmtId="0" fontId="0" fillId="6" borderId="32" xfId="0" applyFill="1" applyBorder="1" applyAlignment="1">
      <alignment textRotation="90"/>
    </xf>
    <xf numFmtId="0" fontId="0" fillId="11" borderId="33" xfId="0" applyFill="1" applyBorder="1" applyAlignment="1">
      <alignment textRotation="90"/>
    </xf>
    <xf numFmtId="0" fontId="0" fillId="8" borderId="34" xfId="0" applyFill="1" applyBorder="1"/>
    <xf numFmtId="0" fontId="0" fillId="8" borderId="35" xfId="0" applyFill="1" applyBorder="1"/>
    <xf numFmtId="0" fontId="0" fillId="9" borderId="36" xfId="0" applyFill="1" applyBorder="1"/>
    <xf numFmtId="0" fontId="0" fillId="9" borderId="37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6" borderId="42" xfId="0" applyFill="1" applyBorder="1"/>
    <xf numFmtId="0" fontId="0" fillId="11" borderId="43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10" xfId="0" applyFill="1" applyBorder="1"/>
    <xf numFmtId="0" fontId="0" fillId="8" borderId="24" xfId="0" applyFill="1" applyBorder="1"/>
    <xf numFmtId="0" fontId="0" fillId="9" borderId="26" xfId="0" applyFill="1" applyBorder="1"/>
    <xf numFmtId="0" fontId="0" fillId="10" borderId="28" xfId="0" applyFill="1" applyBorder="1"/>
    <xf numFmtId="0" fontId="0" fillId="3" borderId="30" xfId="0" applyFill="1" applyBorder="1"/>
    <xf numFmtId="0" fontId="0" fillId="6" borderId="32" xfId="0" applyFill="1" applyBorder="1"/>
    <xf numFmtId="0" fontId="0" fillId="11" borderId="33" xfId="0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" fillId="0" borderId="0" xfId="0" applyFont="1"/>
    <xf numFmtId="0" fontId="15" fillId="0" borderId="0" xfId="0" applyFont="1"/>
    <xf numFmtId="0" fontId="16" fillId="0" borderId="0" xfId="0" applyFont="1"/>
    <xf numFmtId="0" fontId="0" fillId="8" borderId="44" xfId="0" applyFill="1" applyBorder="1"/>
    <xf numFmtId="0" fontId="0" fillId="8" borderId="45" xfId="0" applyFill="1" applyBorder="1"/>
    <xf numFmtId="0" fontId="2" fillId="2" borderId="1" xfId="0" applyFont="1" applyFill="1" applyBorder="1"/>
    <xf numFmtId="0" fontId="2" fillId="3" borderId="3" xfId="0" applyFont="1" applyFill="1" applyBorder="1"/>
    <xf numFmtId="0" fontId="2" fillId="11" borderId="33" xfId="0" applyFont="1" applyFill="1" applyBorder="1"/>
    <xf numFmtId="0" fontId="2" fillId="6" borderId="1" xfId="0" applyFont="1" applyFill="1" applyBorder="1"/>
    <xf numFmtId="0" fontId="2" fillId="7" borderId="10" xfId="0" applyFont="1" applyFill="1" applyBorder="1"/>
    <xf numFmtId="0" fontId="2" fillId="9" borderId="26" xfId="0" applyFont="1" applyFill="1" applyBorder="1"/>
    <xf numFmtId="0" fontId="2" fillId="6" borderId="32" xfId="0" applyFont="1" applyFill="1" applyBorder="1"/>
    <xf numFmtId="0" fontId="2" fillId="10" borderId="28" xfId="0" applyFont="1" applyFill="1" applyBorder="1"/>
    <xf numFmtId="0" fontId="2" fillId="8" borderId="45" xfId="0" applyFont="1" applyFill="1" applyBorder="1"/>
    <xf numFmtId="0" fontId="2" fillId="3" borderId="30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11" borderId="33" xfId="0" applyFont="1" applyFill="1" applyBorder="1" applyAlignment="1">
      <alignment horizontal="center"/>
    </xf>
    <xf numFmtId="0" fontId="0" fillId="11" borderId="33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" fillId="9" borderId="26" xfId="0" applyFont="1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2" fillId="6" borderId="32" xfId="0" applyFont="1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2" fillId="10" borderId="28" xfId="0" applyFont="1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2" fillId="8" borderId="45" xfId="0" applyFon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2" fillId="10" borderId="46" xfId="0" applyFont="1" applyFill="1" applyBorder="1"/>
    <xf numFmtId="0" fontId="2" fillId="10" borderId="46" xfId="0" applyFont="1" applyFill="1" applyBorder="1" applyAlignment="1">
      <alignment horizontal="center"/>
    </xf>
    <xf numFmtId="1" fontId="0" fillId="7" borderId="9" xfId="0" applyNumberFormat="1" applyFill="1" applyBorder="1"/>
    <xf numFmtId="0" fontId="0" fillId="0" borderId="47" xfId="0" applyBorder="1"/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10" borderId="22" xfId="0" applyFont="1" applyFill="1" applyBorder="1"/>
    <xf numFmtId="0" fontId="2" fillId="10" borderId="49" xfId="0" applyFont="1" applyFill="1" applyBorder="1"/>
    <xf numFmtId="0" fontId="2" fillId="10" borderId="50" xfId="0" applyFont="1" applyFill="1" applyBorder="1"/>
    <xf numFmtId="0" fontId="9" fillId="0" borderId="54" xfId="0" applyFont="1" applyBorder="1"/>
    <xf numFmtId="0" fontId="0" fillId="0" borderId="54" xfId="0" applyBorder="1"/>
    <xf numFmtId="0" fontId="0" fillId="2" borderId="55" xfId="0" applyFill="1" applyBorder="1"/>
    <xf numFmtId="0" fontId="0" fillId="3" borderId="55" xfId="0" applyFill="1" applyBorder="1"/>
    <xf numFmtId="0" fontId="0" fillId="4" borderId="55" xfId="0" applyFill="1" applyBorder="1"/>
    <xf numFmtId="0" fontId="0" fillId="5" borderId="55" xfId="0" applyFill="1" applyBorder="1"/>
    <xf numFmtId="0" fontId="0" fillId="6" borderId="55" xfId="0" applyFill="1" applyBorder="1"/>
    <xf numFmtId="0" fontId="0" fillId="6" borderId="56" xfId="0" applyFill="1" applyBorder="1"/>
    <xf numFmtId="0" fontId="0" fillId="7" borderId="57" xfId="0" applyFill="1" applyBorder="1"/>
    <xf numFmtId="0" fontId="0" fillId="7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9" borderId="61" xfId="0" applyFill="1" applyBorder="1"/>
    <xf numFmtId="0" fontId="0" fillId="9" borderId="6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3" borderId="65" xfId="0" applyFill="1" applyBorder="1"/>
    <xf numFmtId="0" fontId="0" fillId="3" borderId="66" xfId="0" applyFill="1" applyBorder="1"/>
    <xf numFmtId="0" fontId="0" fillId="6" borderId="67" xfId="0" applyFill="1" applyBorder="1"/>
    <xf numFmtId="0" fontId="0" fillId="11" borderId="68" xfId="0" applyFill="1" applyBorder="1"/>
    <xf numFmtId="0" fontId="0" fillId="0" borderId="69" xfId="0" applyBorder="1"/>
    <xf numFmtId="0" fontId="0" fillId="2" borderId="70" xfId="0" applyFill="1" applyBorder="1"/>
    <xf numFmtId="0" fontId="0" fillId="3" borderId="70" xfId="0" applyFill="1" applyBorder="1"/>
    <xf numFmtId="0" fontId="0" fillId="4" borderId="70" xfId="0" applyFill="1" applyBorder="1"/>
    <xf numFmtId="0" fontId="0" fillId="5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0" fillId="7" borderId="72" xfId="0" applyFill="1" applyBorder="1"/>
    <xf numFmtId="0" fontId="0" fillId="7" borderId="73" xfId="0" applyFill="1" applyBorder="1"/>
    <xf numFmtId="0" fontId="0" fillId="8" borderId="74" xfId="0" applyFill="1" applyBorder="1"/>
    <xf numFmtId="0" fontId="0" fillId="8" borderId="75" xfId="0" applyFill="1" applyBorder="1"/>
    <xf numFmtId="0" fontId="0" fillId="9" borderId="76" xfId="0" applyFill="1" applyBorder="1"/>
    <xf numFmtId="0" fontId="0" fillId="9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3" borderId="80" xfId="0" applyFill="1" applyBorder="1"/>
    <xf numFmtId="0" fontId="0" fillId="3" borderId="81" xfId="0" applyFill="1" applyBorder="1"/>
    <xf numFmtId="0" fontId="0" fillId="6" borderId="82" xfId="0" applyFill="1" applyBorder="1"/>
    <xf numFmtId="0" fontId="0" fillId="11" borderId="83" xfId="0" applyFill="1" applyBorder="1"/>
    <xf numFmtId="0" fontId="2" fillId="0" borderId="0" xfId="0" applyFont="1" applyAlignment="1">
      <alignment vertical="top" wrapText="1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0" fillId="0" borderId="4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47" xfId="0" applyBorder="1" applyAlignment="1">
      <alignment horizontal="center"/>
    </xf>
    <xf numFmtId="0" fontId="2" fillId="10" borderId="51" xfId="0" applyFont="1" applyFill="1" applyBorder="1" applyAlignment="1">
      <alignment horizontal="left"/>
    </xf>
    <xf numFmtId="0" fontId="2" fillId="10" borderId="52" xfId="0" applyFont="1" applyFill="1" applyBorder="1" applyAlignment="1">
      <alignment horizontal="left"/>
    </xf>
    <xf numFmtId="0" fontId="2" fillId="10" borderId="53" xfId="0" applyFont="1" applyFill="1" applyBorder="1" applyAlignment="1">
      <alignment horizontal="left"/>
    </xf>
    <xf numFmtId="0" fontId="2" fillId="10" borderId="51" xfId="0" applyFont="1" applyFill="1" applyBorder="1" applyAlignment="1">
      <alignment horizontal="left" vertical="top"/>
    </xf>
    <xf numFmtId="0" fontId="2" fillId="10" borderId="52" xfId="0" applyFont="1" applyFill="1" applyBorder="1" applyAlignment="1">
      <alignment horizontal="left" vertical="top"/>
    </xf>
    <xf numFmtId="0" fontId="2" fillId="10" borderId="53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B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3</xdr:col>
          <xdr:colOff>180975</xdr:colOff>
          <xdr:row>4</xdr:row>
          <xdr:rowOff>180975</xdr:rowOff>
        </xdr:to>
        <xdr:sp macro="" textlink="">
          <xdr:nvSpPr>
            <xdr:cNvPr id="1027" name="AtrDecrVig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4</xdr:row>
          <xdr:rowOff>0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1029" name="AtrIncrVig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3</xdr:col>
          <xdr:colOff>180975</xdr:colOff>
          <xdr:row>6</xdr:row>
          <xdr:rowOff>0</xdr:rowOff>
        </xdr:to>
        <xdr:sp macro="" textlink="">
          <xdr:nvSpPr>
            <xdr:cNvPr id="1035" name="AtrDecrDestrez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180975</xdr:colOff>
          <xdr:row>7</xdr:row>
          <xdr:rowOff>0</xdr:rowOff>
        </xdr:to>
        <xdr:sp macro="" textlink="">
          <xdr:nvSpPr>
            <xdr:cNvPr id="1036" name="AtrDecrInteligenci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9525</xdr:rowOff>
        </xdr:from>
        <xdr:to>
          <xdr:col>3</xdr:col>
          <xdr:colOff>180975</xdr:colOff>
          <xdr:row>8</xdr:row>
          <xdr:rowOff>0</xdr:rowOff>
        </xdr:to>
        <xdr:sp macro="" textlink="">
          <xdr:nvSpPr>
            <xdr:cNvPr id="1037" name="AtrDecrVolunta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3</xdr:col>
          <xdr:colOff>180975</xdr:colOff>
          <xdr:row>9</xdr:row>
          <xdr:rowOff>0</xdr:rowOff>
        </xdr:to>
        <xdr:sp macro="" textlink="">
          <xdr:nvSpPr>
            <xdr:cNvPr id="1038" name="AtrDecrPercepció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</xdr:rowOff>
        </xdr:from>
        <xdr:to>
          <xdr:col>3</xdr:col>
          <xdr:colOff>180975</xdr:colOff>
          <xdr:row>10</xdr:row>
          <xdr:rowOff>0</xdr:rowOff>
        </xdr:to>
        <xdr:sp macro="" textlink="">
          <xdr:nvSpPr>
            <xdr:cNvPr id="1039" name="AtrDecrCarisma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9525</xdr:rowOff>
        </xdr:from>
        <xdr:to>
          <xdr:col>3</xdr:col>
          <xdr:colOff>180975</xdr:colOff>
          <xdr:row>11</xdr:row>
          <xdr:rowOff>0</xdr:rowOff>
        </xdr:to>
        <xdr:sp macro="" textlink="">
          <xdr:nvSpPr>
            <xdr:cNvPr id="1040" name="AtrDecrAguan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9525</xdr:rowOff>
        </xdr:from>
        <xdr:to>
          <xdr:col>3</xdr:col>
          <xdr:colOff>180975</xdr:colOff>
          <xdr:row>12</xdr:row>
          <xdr:rowOff>0</xdr:rowOff>
        </xdr:to>
        <xdr:sp macro="" textlink="">
          <xdr:nvSpPr>
            <xdr:cNvPr id="1041" name="AtrDecrEnergia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42" name="AtrIncrDestrez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43" name="AtrIncrInteligenci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44" name="AtrIncrVolunta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45" name="AtrIncrPercepcio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6" name="AtrIncrCarism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7" name="AtrIncrAguan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48" name="AtrIncrEnergia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3</xdr:col>
          <xdr:colOff>180975</xdr:colOff>
          <xdr:row>14</xdr:row>
          <xdr:rowOff>0</xdr:rowOff>
        </xdr:to>
        <xdr:sp macro="" textlink="">
          <xdr:nvSpPr>
            <xdr:cNvPr id="1052" name="HabDecrAtletism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53" name="HabIncrAtletismo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056" name="HabDecrSigilo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7</xdr:col>
          <xdr:colOff>180975</xdr:colOff>
          <xdr:row>5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9525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15</xdr:row>
          <xdr:rowOff>9525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9525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18</xdr:row>
          <xdr:rowOff>9525</xdr:rowOff>
        </xdr:from>
        <xdr:to>
          <xdr:col>8</xdr:col>
          <xdr:colOff>0</xdr:colOff>
          <xdr:row>19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19</xdr:row>
          <xdr:rowOff>9525</xdr:rowOff>
        </xdr:from>
        <xdr:to>
          <xdr:col>8</xdr:col>
          <xdr:colOff>0</xdr:colOff>
          <xdr:row>20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9525</xdr:rowOff>
        </xdr:from>
        <xdr:to>
          <xdr:col>8</xdr:col>
          <xdr:colOff>0</xdr:colOff>
          <xdr:row>21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21</xdr:row>
          <xdr:rowOff>9525</xdr:rowOff>
        </xdr:from>
        <xdr:to>
          <xdr:col>8</xdr:col>
          <xdr:colOff>0</xdr:colOff>
          <xdr:row>22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18</xdr:row>
          <xdr:rowOff>9525</xdr:rowOff>
        </xdr:from>
        <xdr:to>
          <xdr:col>11</xdr:col>
          <xdr:colOff>752475</xdr:colOff>
          <xdr:row>19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23</xdr:row>
          <xdr:rowOff>9525</xdr:rowOff>
        </xdr:from>
        <xdr:to>
          <xdr:col>7</xdr:col>
          <xdr:colOff>581025</xdr:colOff>
          <xdr:row>24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24</xdr:row>
          <xdr:rowOff>9525</xdr:rowOff>
        </xdr:from>
        <xdr:to>
          <xdr:col>7</xdr:col>
          <xdr:colOff>581025</xdr:colOff>
          <xdr:row>25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25</xdr:row>
          <xdr:rowOff>9525</xdr:rowOff>
        </xdr:from>
        <xdr:to>
          <xdr:col>7</xdr:col>
          <xdr:colOff>581025</xdr:colOff>
          <xdr:row>26</xdr:row>
          <xdr:rowOff>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26</xdr:row>
          <xdr:rowOff>9525</xdr:rowOff>
        </xdr:from>
        <xdr:to>
          <xdr:col>7</xdr:col>
          <xdr:colOff>581025</xdr:colOff>
          <xdr:row>27</xdr:row>
          <xdr:rowOff>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27</xdr:row>
          <xdr:rowOff>9525</xdr:rowOff>
        </xdr:from>
        <xdr:to>
          <xdr:col>7</xdr:col>
          <xdr:colOff>581025</xdr:colOff>
          <xdr:row>28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28</xdr:row>
          <xdr:rowOff>9525</xdr:rowOff>
        </xdr:from>
        <xdr:to>
          <xdr:col>7</xdr:col>
          <xdr:colOff>581025</xdr:colOff>
          <xdr:row>29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29</xdr:row>
          <xdr:rowOff>9525</xdr:rowOff>
        </xdr:from>
        <xdr:to>
          <xdr:col>7</xdr:col>
          <xdr:colOff>581025</xdr:colOff>
          <xdr:row>30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30</xdr:row>
          <xdr:rowOff>9525</xdr:rowOff>
        </xdr:from>
        <xdr:to>
          <xdr:col>8</xdr:col>
          <xdr:colOff>0</xdr:colOff>
          <xdr:row>30</xdr:row>
          <xdr:rowOff>190500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25</xdr:row>
          <xdr:rowOff>9525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7</xdr:col>
          <xdr:colOff>180975</xdr:colOff>
          <xdr:row>9</xdr:row>
          <xdr:rowOff>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7</xdr:col>
          <xdr:colOff>180975</xdr:colOff>
          <xdr:row>15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9525</xdr:rowOff>
        </xdr:from>
        <xdr:to>
          <xdr:col>7</xdr:col>
          <xdr:colOff>180975</xdr:colOff>
          <xdr:row>16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16</xdr:row>
          <xdr:rowOff>9525</xdr:rowOff>
        </xdr:from>
        <xdr:to>
          <xdr:col>7</xdr:col>
          <xdr:colOff>180975</xdr:colOff>
          <xdr:row>17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180975</xdr:colOff>
          <xdr:row>18</xdr:row>
          <xdr:rowOff>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180975</xdr:colOff>
          <xdr:row>19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180975</xdr:colOff>
          <xdr:row>20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180975</xdr:colOff>
          <xdr:row>21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180975</xdr:colOff>
          <xdr:row>22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18</xdr:row>
          <xdr:rowOff>9525</xdr:rowOff>
        </xdr:from>
        <xdr:to>
          <xdr:col>11</xdr:col>
          <xdr:colOff>180975</xdr:colOff>
          <xdr:row>19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180975</xdr:colOff>
          <xdr:row>24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180975</xdr:colOff>
          <xdr:row>26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180975</xdr:colOff>
          <xdr:row>27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9525</xdr:rowOff>
        </xdr:from>
        <xdr:to>
          <xdr:col>7</xdr:col>
          <xdr:colOff>180975</xdr:colOff>
          <xdr:row>28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9525</xdr:rowOff>
        </xdr:from>
        <xdr:to>
          <xdr:col>7</xdr:col>
          <xdr:colOff>180975</xdr:colOff>
          <xdr:row>29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180975</xdr:colOff>
          <xdr:row>30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180975</xdr:colOff>
          <xdr:row>31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9525</xdr:rowOff>
        </xdr:from>
        <xdr:to>
          <xdr:col>11</xdr:col>
          <xdr:colOff>180975</xdr:colOff>
          <xdr:row>5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25</xdr:row>
          <xdr:rowOff>9525</xdr:rowOff>
        </xdr:from>
        <xdr:to>
          <xdr:col>11</xdr:col>
          <xdr:colOff>180975</xdr:colOff>
          <xdr:row>26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5</xdr:row>
          <xdr:rowOff>9525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11</xdr:col>
          <xdr:colOff>180975</xdr:colOff>
          <xdr:row>6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6</xdr:row>
          <xdr:rowOff>9525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9525</xdr:rowOff>
        </xdr:from>
        <xdr:to>
          <xdr:col>11</xdr:col>
          <xdr:colOff>180975</xdr:colOff>
          <xdr:row>7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180975</xdr:colOff>
          <xdr:row>8</xdr:row>
          <xdr:rowOff>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8</xdr:row>
          <xdr:rowOff>9525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9525</xdr:rowOff>
        </xdr:from>
        <xdr:to>
          <xdr:col>11</xdr:col>
          <xdr:colOff>180975</xdr:colOff>
          <xdr:row>9</xdr:row>
          <xdr:rowOff>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9</xdr:row>
          <xdr:rowOff>9525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180975</xdr:colOff>
          <xdr:row>10</xdr:row>
          <xdr:rowOff>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10</xdr:row>
          <xdr:rowOff>9525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10</xdr:row>
          <xdr:rowOff>9525</xdr:rowOff>
        </xdr:from>
        <xdr:to>
          <xdr:col>11</xdr:col>
          <xdr:colOff>180975</xdr:colOff>
          <xdr:row>11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11</xdr:row>
          <xdr:rowOff>9525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180975</xdr:colOff>
          <xdr:row>12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</xdr:row>
          <xdr:rowOff>9525</xdr:rowOff>
        </xdr:from>
        <xdr:to>
          <xdr:col>11</xdr:col>
          <xdr:colOff>180975</xdr:colOff>
          <xdr:row>13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13</xdr:row>
          <xdr:rowOff>9525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9525</xdr:rowOff>
        </xdr:from>
        <xdr:to>
          <xdr:col>11</xdr:col>
          <xdr:colOff>180975</xdr:colOff>
          <xdr:row>14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14</xdr:row>
          <xdr:rowOff>9525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14</xdr:row>
          <xdr:rowOff>9525</xdr:rowOff>
        </xdr:from>
        <xdr:to>
          <xdr:col>11</xdr:col>
          <xdr:colOff>180975</xdr:colOff>
          <xdr:row>15</xdr:row>
          <xdr:rowOff>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15</xdr:row>
          <xdr:rowOff>9525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15</xdr:row>
          <xdr:rowOff>9525</xdr:rowOff>
        </xdr:from>
        <xdr:to>
          <xdr:col>11</xdr:col>
          <xdr:colOff>180975</xdr:colOff>
          <xdr:row>16</xdr:row>
          <xdr:rowOff>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16</xdr:row>
          <xdr:rowOff>9525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16</xdr:row>
          <xdr:rowOff>9525</xdr:rowOff>
        </xdr:from>
        <xdr:to>
          <xdr:col>11</xdr:col>
          <xdr:colOff>180975</xdr:colOff>
          <xdr:row>17</xdr:row>
          <xdr:rowOff>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26</xdr:row>
          <xdr:rowOff>9525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26</xdr:row>
          <xdr:rowOff>9525</xdr:rowOff>
        </xdr:from>
        <xdr:to>
          <xdr:col>11</xdr:col>
          <xdr:colOff>180975</xdr:colOff>
          <xdr:row>27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27</xdr:row>
          <xdr:rowOff>9525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27</xdr:row>
          <xdr:rowOff>9525</xdr:rowOff>
        </xdr:from>
        <xdr:to>
          <xdr:col>11</xdr:col>
          <xdr:colOff>180975</xdr:colOff>
          <xdr:row>28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28</xdr:row>
          <xdr:rowOff>9525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9525</xdr:rowOff>
        </xdr:from>
        <xdr:to>
          <xdr:col>11</xdr:col>
          <xdr:colOff>180975</xdr:colOff>
          <xdr:row>29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29</xdr:row>
          <xdr:rowOff>9525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29</xdr:row>
          <xdr:rowOff>9525</xdr:rowOff>
        </xdr:from>
        <xdr:to>
          <xdr:col>11</xdr:col>
          <xdr:colOff>180975</xdr:colOff>
          <xdr:row>30</xdr:row>
          <xdr:rowOff>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30</xdr:row>
          <xdr:rowOff>9525</xdr:rowOff>
        </xdr:from>
        <xdr:to>
          <xdr:col>12</xdr:col>
          <xdr:colOff>0</xdr:colOff>
          <xdr:row>31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9525</xdr:rowOff>
        </xdr:from>
        <xdr:to>
          <xdr:col>11</xdr:col>
          <xdr:colOff>180975</xdr:colOff>
          <xdr:row>31</xdr:row>
          <xdr:rowOff>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3</xdr:col>
          <xdr:colOff>180975</xdr:colOff>
          <xdr:row>2</xdr:row>
          <xdr:rowOff>180975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</xdr:row>
          <xdr:rowOff>0</xdr:rowOff>
        </xdr:from>
        <xdr:to>
          <xdr:col>4</xdr:col>
          <xdr:colOff>0</xdr:colOff>
          <xdr:row>2</xdr:row>
          <xdr:rowOff>180975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3</xdr:col>
          <xdr:colOff>180975</xdr:colOff>
          <xdr:row>5</xdr:row>
          <xdr:rowOff>180975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5</xdr:row>
          <xdr:rowOff>0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3</xdr:col>
          <xdr:colOff>180975</xdr:colOff>
          <xdr:row>6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6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0</xdr:rowOff>
        </xdr:from>
        <xdr:to>
          <xdr:col>3</xdr:col>
          <xdr:colOff>180975</xdr:colOff>
          <xdr:row>7</xdr:row>
          <xdr:rowOff>180975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</xdr:row>
          <xdr:rowOff>0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0</xdr:rowOff>
        </xdr:from>
        <xdr:to>
          <xdr:col>3</xdr:col>
          <xdr:colOff>180975</xdr:colOff>
          <xdr:row>8</xdr:row>
          <xdr:rowOff>180975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8</xdr:row>
          <xdr:rowOff>0</xdr:rowOff>
        </xdr:from>
        <xdr:to>
          <xdr:col>4</xdr:col>
          <xdr:colOff>0</xdr:colOff>
          <xdr:row>8</xdr:row>
          <xdr:rowOff>180975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0</xdr:rowOff>
        </xdr:from>
        <xdr:to>
          <xdr:col>3</xdr:col>
          <xdr:colOff>180975</xdr:colOff>
          <xdr:row>9</xdr:row>
          <xdr:rowOff>180975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9</xdr:row>
          <xdr:rowOff>0</xdr:rowOff>
        </xdr:from>
        <xdr:to>
          <xdr:col>4</xdr:col>
          <xdr:colOff>0</xdr:colOff>
          <xdr:row>9</xdr:row>
          <xdr:rowOff>180975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3</xdr:col>
          <xdr:colOff>180975</xdr:colOff>
          <xdr:row>10</xdr:row>
          <xdr:rowOff>180975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10</xdr:row>
          <xdr:rowOff>0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11</xdr:row>
          <xdr:rowOff>0</xdr:rowOff>
        </xdr:from>
        <xdr:to>
          <xdr:col>3</xdr:col>
          <xdr:colOff>180975</xdr:colOff>
          <xdr:row>11</xdr:row>
          <xdr:rowOff>180975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11</xdr:row>
          <xdr:rowOff>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3</xdr:col>
          <xdr:colOff>180975</xdr:colOff>
          <xdr:row>15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15</xdr:row>
          <xdr:rowOff>9525</xdr:rowOff>
        </xdr:from>
        <xdr:to>
          <xdr:col>3</xdr:col>
          <xdr:colOff>180975</xdr:colOff>
          <xdr:row>16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9525</xdr:rowOff>
        </xdr:from>
        <xdr:to>
          <xdr:col>3</xdr:col>
          <xdr:colOff>180975</xdr:colOff>
          <xdr:row>17</xdr:row>
          <xdr:rowOff>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3</xdr:col>
          <xdr:colOff>180975</xdr:colOff>
          <xdr:row>18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9525</xdr:rowOff>
        </xdr:from>
        <xdr:to>
          <xdr:col>3</xdr:col>
          <xdr:colOff>180975</xdr:colOff>
          <xdr:row>19</xdr:row>
          <xdr:rowOff>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18</xdr:row>
          <xdr:rowOff>9525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0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0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0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0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0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0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0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180975</xdr:colOff>
          <xdr:row>6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0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9525</xdr:rowOff>
        </xdr:from>
        <xdr:to>
          <xdr:col>7</xdr:col>
          <xdr:colOff>180975</xdr:colOff>
          <xdr:row>7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9525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9525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9</xdr:row>
          <xdr:rowOff>9525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9525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</xdr:row>
          <xdr:rowOff>9525</xdr:rowOff>
        </xdr:from>
        <xdr:to>
          <xdr:col>7</xdr:col>
          <xdr:colOff>180975</xdr:colOff>
          <xdr:row>11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11</xdr:row>
          <xdr:rowOff>9525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0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</xdr:row>
          <xdr:rowOff>9525</xdr:rowOff>
        </xdr:from>
        <xdr:to>
          <xdr:col>7</xdr:col>
          <xdr:colOff>180975</xdr:colOff>
          <xdr:row>12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0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12</xdr:row>
          <xdr:rowOff>9525</xdr:rowOff>
        </xdr:from>
        <xdr:to>
          <xdr:col>8</xdr:col>
          <xdr:colOff>0</xdr:colOff>
          <xdr:row>13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7</xdr:col>
          <xdr:colOff>180975</xdr:colOff>
          <xdr:row>13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0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19</xdr:row>
          <xdr:rowOff>9525</xdr:rowOff>
        </xdr:from>
        <xdr:to>
          <xdr:col>11</xdr:col>
          <xdr:colOff>752475</xdr:colOff>
          <xdr:row>20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0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19</xdr:row>
          <xdr:rowOff>9525</xdr:rowOff>
        </xdr:from>
        <xdr:to>
          <xdr:col>11</xdr:col>
          <xdr:colOff>180975</xdr:colOff>
          <xdr:row>20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20</xdr:row>
          <xdr:rowOff>9525</xdr:rowOff>
        </xdr:from>
        <xdr:to>
          <xdr:col>11</xdr:col>
          <xdr:colOff>752475</xdr:colOff>
          <xdr:row>21</xdr:row>
          <xdr:rowOff>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0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20</xdr:row>
          <xdr:rowOff>9525</xdr:rowOff>
        </xdr:from>
        <xdr:to>
          <xdr:col>11</xdr:col>
          <xdr:colOff>180975</xdr:colOff>
          <xdr:row>21</xdr:row>
          <xdr:rowOff>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0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21</xdr:row>
          <xdr:rowOff>9525</xdr:rowOff>
        </xdr:from>
        <xdr:to>
          <xdr:col>11</xdr:col>
          <xdr:colOff>752475</xdr:colOff>
          <xdr:row>22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21</xdr:row>
          <xdr:rowOff>9525</xdr:rowOff>
        </xdr:from>
        <xdr:to>
          <xdr:col>11</xdr:col>
          <xdr:colOff>180975</xdr:colOff>
          <xdr:row>22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22</xdr:row>
          <xdr:rowOff>9525</xdr:rowOff>
        </xdr:from>
        <xdr:to>
          <xdr:col>11</xdr:col>
          <xdr:colOff>752475</xdr:colOff>
          <xdr:row>23</xdr:row>
          <xdr:rowOff>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0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22</xdr:row>
          <xdr:rowOff>9525</xdr:rowOff>
        </xdr:from>
        <xdr:to>
          <xdr:col>11</xdr:col>
          <xdr:colOff>180975</xdr:colOff>
          <xdr:row>23</xdr:row>
          <xdr:rowOff>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23</xdr:row>
          <xdr:rowOff>9525</xdr:rowOff>
        </xdr:from>
        <xdr:to>
          <xdr:col>11</xdr:col>
          <xdr:colOff>752475</xdr:colOff>
          <xdr:row>24</xdr:row>
          <xdr:rowOff>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0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180975</xdr:colOff>
          <xdr:row>24</xdr:row>
          <xdr:rowOff>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0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0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0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0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0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0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0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0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0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0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0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0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0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0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0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0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19</xdr:row>
          <xdr:rowOff>9525</xdr:rowOff>
        </xdr:from>
        <xdr:to>
          <xdr:col>3</xdr:col>
          <xdr:colOff>180975</xdr:colOff>
          <xdr:row>20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19</xdr:row>
          <xdr:rowOff>9525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20</xdr:row>
          <xdr:rowOff>9525</xdr:rowOff>
        </xdr:from>
        <xdr:to>
          <xdr:col>3</xdr:col>
          <xdr:colOff>180975</xdr:colOff>
          <xdr:row>21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20</xdr:row>
          <xdr:rowOff>9525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9525</xdr:rowOff>
        </xdr:from>
        <xdr:to>
          <xdr:col>3</xdr:col>
          <xdr:colOff>180975</xdr:colOff>
          <xdr:row>22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21</xdr:row>
          <xdr:rowOff>9525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22</xdr:row>
          <xdr:rowOff>9525</xdr:rowOff>
        </xdr:from>
        <xdr:to>
          <xdr:col>3</xdr:col>
          <xdr:colOff>180975</xdr:colOff>
          <xdr:row>23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22</xdr:row>
          <xdr:rowOff>9525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3</xdr:col>
          <xdr:colOff>180975</xdr:colOff>
          <xdr:row>24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23</xdr:row>
          <xdr:rowOff>9525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3</xdr:col>
          <xdr:colOff>180975</xdr:colOff>
          <xdr:row>25</xdr:row>
          <xdr:rowOff>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24</xdr:row>
          <xdr:rowOff>9525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9525</xdr:rowOff>
        </xdr:from>
        <xdr:to>
          <xdr:col>3</xdr:col>
          <xdr:colOff>180975</xdr:colOff>
          <xdr:row>26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25</xdr:row>
          <xdr:rowOff>9525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</xdr:row>
          <xdr:rowOff>171450</xdr:rowOff>
        </xdr:from>
        <xdr:to>
          <xdr:col>14</xdr:col>
          <xdr:colOff>904875</xdr:colOff>
          <xdr:row>4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Sin Magia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180975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Con Magia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FBDF2-C046-44C5-9010-D6326FCA882C}">
  <sheetPr codeName="Hoja1"/>
  <dimension ref="C1:Y35"/>
  <sheetViews>
    <sheetView tabSelected="1" zoomScaleNormal="100" workbookViewId="0">
      <selection activeCell="G24" sqref="G24"/>
    </sheetView>
  </sheetViews>
  <sheetFormatPr baseColWidth="10" defaultRowHeight="15" x14ac:dyDescent="0.25"/>
  <cols>
    <col min="1" max="1" width="18.140625" bestFit="1" customWidth="1"/>
    <col min="3" max="3" width="30" customWidth="1"/>
    <col min="4" max="4" width="9.140625" customWidth="1"/>
    <col min="5" max="5" width="5.5703125" customWidth="1"/>
    <col min="6" max="6" width="5.42578125" customWidth="1"/>
    <col min="7" max="7" width="24.28515625" bestFit="1" customWidth="1"/>
    <col min="8" max="8" width="8.7109375" style="103" customWidth="1"/>
    <col min="9" max="9" width="5.5703125" bestFit="1" customWidth="1"/>
    <col min="10" max="10" width="5.42578125" bestFit="1" customWidth="1"/>
    <col min="11" max="11" width="25.28515625" customWidth="1"/>
    <col min="12" max="12" width="11.42578125" style="103"/>
    <col min="13" max="13" width="5.5703125" bestFit="1" customWidth="1"/>
    <col min="14" max="14" width="5.42578125" bestFit="1" customWidth="1"/>
    <col min="15" max="16" width="13.7109375" customWidth="1"/>
    <col min="17" max="17" width="24.5703125" hidden="1" customWidth="1"/>
    <col min="18" max="18" width="11.42578125" hidden="1" customWidth="1"/>
    <col min="19" max="19" width="20.140625" hidden="1" customWidth="1"/>
    <col min="20" max="20" width="11.42578125" hidden="1" customWidth="1"/>
    <col min="21" max="21" width="20.42578125" hidden="1" customWidth="1"/>
    <col min="22" max="22" width="27.140625" bestFit="1" customWidth="1"/>
    <col min="23" max="23" width="9" customWidth="1"/>
    <col min="24" max="24" width="13.42578125" bestFit="1" customWidth="1"/>
    <col min="25" max="25" width="17.28515625" bestFit="1" customWidth="1"/>
  </cols>
  <sheetData>
    <row r="1" spans="3:25" x14ac:dyDescent="0.25">
      <c r="C1" s="125" t="s">
        <v>196</v>
      </c>
      <c r="D1" s="175" t="s">
        <v>164</v>
      </c>
      <c r="E1" s="176"/>
      <c r="F1" s="176"/>
      <c r="G1" s="177"/>
      <c r="H1" s="126"/>
      <c r="I1" s="126"/>
      <c r="J1" s="126"/>
      <c r="K1" s="126" t="s">
        <v>267</v>
      </c>
      <c r="L1" s="126">
        <f>'Ficha inicial'!DW3</f>
        <v>6</v>
      </c>
      <c r="M1" s="126"/>
      <c r="N1" s="127"/>
      <c r="U1" t="s">
        <v>192</v>
      </c>
    </row>
    <row r="2" spans="3:25" x14ac:dyDescent="0.25">
      <c r="C2" s="125" t="s">
        <v>197</v>
      </c>
      <c r="D2" s="178" t="s">
        <v>135</v>
      </c>
      <c r="E2" s="179"/>
      <c r="F2" s="179"/>
      <c r="G2" s="180"/>
      <c r="H2" s="126"/>
      <c r="I2" s="126"/>
      <c r="J2" s="126"/>
      <c r="K2" s="126"/>
      <c r="L2" s="126"/>
      <c r="M2" s="126"/>
      <c r="N2" s="127"/>
    </row>
    <row r="3" spans="3:25" x14ac:dyDescent="0.25">
      <c r="C3" s="118" t="s">
        <v>194</v>
      </c>
      <c r="D3" s="119">
        <v>1</v>
      </c>
      <c r="E3" s="118"/>
      <c r="F3" s="118"/>
      <c r="G3" s="118" t="s">
        <v>195</v>
      </c>
      <c r="H3" s="118">
        <f>R4</f>
        <v>20</v>
      </c>
      <c r="I3" s="118"/>
      <c r="J3" s="118"/>
      <c r="K3" s="118"/>
      <c r="L3" s="118"/>
      <c r="M3" s="118"/>
      <c r="N3" s="118"/>
      <c r="S3" t="s">
        <v>189</v>
      </c>
    </row>
    <row r="4" spans="3:25" x14ac:dyDescent="0.25">
      <c r="C4" s="87" t="s">
        <v>145</v>
      </c>
      <c r="D4" s="97">
        <f>R5</f>
        <v>5</v>
      </c>
      <c r="E4" s="87" t="s">
        <v>153</v>
      </c>
      <c r="F4" s="87" t="s">
        <v>127</v>
      </c>
      <c r="G4" s="90" t="s">
        <v>179</v>
      </c>
      <c r="H4" s="104">
        <f>R7</f>
        <v>2</v>
      </c>
      <c r="I4" s="90" t="s">
        <v>153</v>
      </c>
      <c r="J4" s="90" t="s">
        <v>127</v>
      </c>
      <c r="K4" s="95" t="s">
        <v>148</v>
      </c>
      <c r="L4" s="114">
        <f>R11</f>
        <v>5</v>
      </c>
      <c r="M4" s="95" t="s">
        <v>153</v>
      </c>
      <c r="N4" s="95" t="s">
        <v>127</v>
      </c>
      <c r="Q4" t="s">
        <v>180</v>
      </c>
      <c r="R4">
        <v>20</v>
      </c>
      <c r="S4" t="s">
        <v>190</v>
      </c>
      <c r="T4">
        <v>7</v>
      </c>
      <c r="V4" s="121" t="s">
        <v>198</v>
      </c>
      <c r="W4" s="121">
        <v>7</v>
      </c>
      <c r="X4" s="174" t="s">
        <v>199</v>
      </c>
      <c r="Y4" s="174"/>
    </row>
    <row r="5" spans="3:25" ht="15" customHeight="1" x14ac:dyDescent="0.25">
      <c r="C5" s="3" t="s">
        <v>11</v>
      </c>
      <c r="D5" s="98">
        <v>0</v>
      </c>
      <c r="E5" s="3">
        <f>IF(OR(ISBLANK($D$1),  ISBLANK($D$2)),"", HLOOKUP(C5,'Ficha inicial'!$C$1:$J$5, 2, FALSE))</f>
        <v>1</v>
      </c>
      <c r="F5" s="87">
        <f t="shared" ref="F5:F12" si="0">SUM(D5,E5)</f>
        <v>1</v>
      </c>
      <c r="G5" s="7" t="s">
        <v>205</v>
      </c>
      <c r="H5" s="105">
        <v>0</v>
      </c>
      <c r="I5" s="7">
        <f>IF(OR(ISBLANK($D$1),  ISBLANK($D$2)),"", HLOOKUP(G5,'Ficha inicial'!$K$1:$Z$5, 2, FALSE))</f>
        <v>0</v>
      </c>
      <c r="J5" s="90">
        <f>SUM(H5,I5)</f>
        <v>0</v>
      </c>
      <c r="K5" s="86" t="s">
        <v>45</v>
      </c>
      <c r="L5" s="115">
        <v>0</v>
      </c>
      <c r="M5" s="86">
        <f>IF(ISBLANK(K5), "", HLOOKUP(K5,'Ficha inicial'!$AF$1:$AW$2, 2, FALSE))</f>
        <v>1</v>
      </c>
      <c r="N5" s="95">
        <f t="shared" ref="N5:N17" si="1">IF(ISBLANK(K5),"",SUM(L5:M5))</f>
        <v>1</v>
      </c>
      <c r="O5" s="171" t="s">
        <v>206</v>
      </c>
      <c r="P5" s="172"/>
      <c r="Q5" t="s">
        <v>181</v>
      </c>
      <c r="R5">
        <v>5</v>
      </c>
      <c r="T5">
        <v>4</v>
      </c>
      <c r="V5" s="121" t="s">
        <v>180</v>
      </c>
      <c r="W5" s="121">
        <v>20</v>
      </c>
      <c r="X5" s="121" t="s">
        <v>200</v>
      </c>
      <c r="Y5" s="121" t="s">
        <v>201</v>
      </c>
    </row>
    <row r="6" spans="3:25" x14ac:dyDescent="0.25">
      <c r="C6" s="3" t="s">
        <v>12</v>
      </c>
      <c r="D6" s="98">
        <v>0</v>
      </c>
      <c r="E6" s="3">
        <f>IF(OR(ISBLANK($D$1),  ISBLANK($D$2)),"", HLOOKUP(C6,'Ficha inicial'!$C$1:$J$5, 2, FALSE))</f>
        <v>2</v>
      </c>
      <c r="F6" s="87">
        <f t="shared" si="0"/>
        <v>2</v>
      </c>
      <c r="G6" s="7" t="s">
        <v>31</v>
      </c>
      <c r="H6" s="105">
        <v>0</v>
      </c>
      <c r="I6" s="7">
        <f>IF(OR(ISBLANK($D$1),  ISBLANK($D$2)),"", HLOOKUP(G6,'Ficha inicial'!$K$1:$Z$5, 2, FALSE))</f>
        <v>1</v>
      </c>
      <c r="J6" s="90">
        <f>SUM(H6,I6)</f>
        <v>1</v>
      </c>
      <c r="K6" s="86" t="s">
        <v>48</v>
      </c>
      <c r="L6" s="115">
        <v>0</v>
      </c>
      <c r="M6" s="86">
        <f>IF(ISBLANK(K6), "", HLOOKUP(K6,'Ficha inicial'!$AF$1:$AW$2, 2, FALSE))</f>
        <v>1</v>
      </c>
      <c r="N6" s="95">
        <f t="shared" si="1"/>
        <v>1</v>
      </c>
      <c r="O6" s="171"/>
      <c r="P6" s="172"/>
      <c r="Q6" t="s">
        <v>186</v>
      </c>
      <c r="R6">
        <v>10</v>
      </c>
      <c r="S6">
        <v>3</v>
      </c>
      <c r="T6">
        <v>2</v>
      </c>
      <c r="V6" s="121" t="s">
        <v>181</v>
      </c>
      <c r="W6" s="121">
        <v>5</v>
      </c>
      <c r="X6" s="121">
        <v>4</v>
      </c>
      <c r="Y6" s="121">
        <v>0</v>
      </c>
    </row>
    <row r="7" spans="3:25" x14ac:dyDescent="0.25">
      <c r="C7" s="3" t="s">
        <v>13</v>
      </c>
      <c r="D7" s="98">
        <v>0</v>
      </c>
      <c r="E7" s="3">
        <f>IF(OR(ISBLANK($D$1),  ISBLANK($D$2)),"", HLOOKUP(C7,'Ficha inicial'!$C$1:$J$5, 2, FALSE))</f>
        <v>3</v>
      </c>
      <c r="F7" s="87">
        <f t="shared" si="0"/>
        <v>3</v>
      </c>
      <c r="G7" s="7" t="s">
        <v>32</v>
      </c>
      <c r="H7" s="105">
        <v>0</v>
      </c>
      <c r="I7" s="7">
        <f>IF(OR(ISBLANK($D$1),  ISBLANK($D$2)),"", HLOOKUP(G7,'Ficha inicial'!$K$1:$Z$5, 2, FALSE))</f>
        <v>1</v>
      </c>
      <c r="J7" s="90">
        <f>SUM(H7,I7)</f>
        <v>1</v>
      </c>
      <c r="K7" s="86" t="s">
        <v>49</v>
      </c>
      <c r="L7" s="115">
        <v>0</v>
      </c>
      <c r="M7" s="86">
        <f>IF(ISBLANK(K7), "", HLOOKUP(K7,'Ficha inicial'!$AF$1:$AW$2, 2, FALSE))</f>
        <v>1</v>
      </c>
      <c r="N7" s="95">
        <f t="shared" si="1"/>
        <v>1</v>
      </c>
      <c r="O7" s="171"/>
      <c r="P7" s="172"/>
      <c r="Q7" t="s">
        <v>185</v>
      </c>
      <c r="R7">
        <v>2</v>
      </c>
      <c r="S7">
        <v>4</v>
      </c>
      <c r="T7">
        <v>3</v>
      </c>
      <c r="V7" s="121" t="s">
        <v>186</v>
      </c>
      <c r="W7" s="121">
        <v>10</v>
      </c>
      <c r="X7" s="121">
        <v>2</v>
      </c>
      <c r="Y7" s="121">
        <v>3</v>
      </c>
    </row>
    <row r="8" spans="3:25" x14ac:dyDescent="0.25">
      <c r="C8" s="3" t="s">
        <v>14</v>
      </c>
      <c r="D8" s="98">
        <v>0</v>
      </c>
      <c r="E8" s="3">
        <f>IF(OR(ISBLANK($D$1),  ISBLANK($D$2)),"", HLOOKUP(C8,'Ficha inicial'!$C$1:$J$5, 2, FALSE))</f>
        <v>1</v>
      </c>
      <c r="F8" s="87">
        <f t="shared" si="0"/>
        <v>1</v>
      </c>
      <c r="G8" s="91" t="s">
        <v>147</v>
      </c>
      <c r="H8" s="106">
        <f>R8</f>
        <v>1</v>
      </c>
      <c r="I8" s="91" t="s">
        <v>153</v>
      </c>
      <c r="J8" s="91" t="s">
        <v>127</v>
      </c>
      <c r="K8" s="86" t="s">
        <v>50</v>
      </c>
      <c r="L8" s="115">
        <v>0</v>
      </c>
      <c r="M8" s="86">
        <f>IF(ISBLANK(K8), "", HLOOKUP(K8,'Ficha inicial'!$AF$1:$AW$2, 2, FALSE))</f>
        <v>1</v>
      </c>
      <c r="N8" s="95">
        <f t="shared" si="1"/>
        <v>1</v>
      </c>
      <c r="O8" s="171"/>
      <c r="P8" s="172"/>
      <c r="Q8" t="s">
        <v>184</v>
      </c>
      <c r="R8">
        <v>1</v>
      </c>
      <c r="S8">
        <v>4</v>
      </c>
      <c r="T8">
        <v>3</v>
      </c>
      <c r="U8" t="s">
        <v>265</v>
      </c>
      <c r="V8" s="121" t="s">
        <v>185</v>
      </c>
      <c r="W8" s="121">
        <v>3</v>
      </c>
      <c r="X8" s="121">
        <v>3</v>
      </c>
      <c r="Y8" s="121">
        <v>4</v>
      </c>
    </row>
    <row r="9" spans="3:25" x14ac:dyDescent="0.25">
      <c r="C9" s="3" t="s">
        <v>15</v>
      </c>
      <c r="D9" s="98">
        <v>0</v>
      </c>
      <c r="E9" s="3">
        <f>IF(OR(ISBLANK($D$1),  ISBLANK($D$2)),"", HLOOKUP(C9,'Ficha inicial'!$C$1:$J$5, 2, FALSE))</f>
        <v>2</v>
      </c>
      <c r="F9" s="87">
        <f t="shared" si="0"/>
        <v>2</v>
      </c>
      <c r="G9" s="63" t="s">
        <v>33</v>
      </c>
      <c r="H9" s="107">
        <v>0</v>
      </c>
      <c r="I9" s="63">
        <f>IF(OR(ISBLANK($D$1),  ISBLANK($D$2)),"", HLOOKUP(G9,'Ficha inicial'!$AA$1:$AE$5, 2, FALSE))</f>
        <v>0</v>
      </c>
      <c r="J9" s="91">
        <f>SUM(H9:I9)</f>
        <v>0</v>
      </c>
      <c r="K9" s="86" t="s">
        <v>38</v>
      </c>
      <c r="L9" s="115">
        <v>0</v>
      </c>
      <c r="M9" s="86">
        <f>IF(ISBLANK(K9), "", HLOOKUP(K9,'Ficha inicial'!$AF$1:$AW$2, 2, FALSE))</f>
        <v>0</v>
      </c>
      <c r="N9" s="95">
        <f t="shared" si="1"/>
        <v>0</v>
      </c>
      <c r="O9" s="171"/>
      <c r="P9" s="172"/>
      <c r="Q9" t="s">
        <v>182</v>
      </c>
      <c r="R9">
        <v>1</v>
      </c>
      <c r="S9">
        <v>4</v>
      </c>
      <c r="T9">
        <v>3</v>
      </c>
      <c r="V9" s="121" t="s">
        <v>184</v>
      </c>
      <c r="W9" s="121">
        <v>1</v>
      </c>
      <c r="X9" s="121">
        <v>3</v>
      </c>
      <c r="Y9" s="121">
        <v>4</v>
      </c>
    </row>
    <row r="10" spans="3:25" ht="15" customHeight="1" x14ac:dyDescent="0.25">
      <c r="C10" s="3" t="s">
        <v>29</v>
      </c>
      <c r="D10" s="98">
        <v>0</v>
      </c>
      <c r="E10" s="3">
        <f>IF(OR(ISBLANK($D$1),  ISBLANK($D$2)),"", HLOOKUP(C10,'Ficha inicial'!$C$1:$J$5, 2, FALSE))</f>
        <v>1</v>
      </c>
      <c r="F10" s="87">
        <f t="shared" si="0"/>
        <v>1</v>
      </c>
      <c r="G10" s="63" t="s">
        <v>34</v>
      </c>
      <c r="H10" s="107">
        <v>0</v>
      </c>
      <c r="I10" s="63">
        <f>IF(OR(ISBLANK($D$1),  ISBLANK($D$2)),"", HLOOKUP(G10,'Ficha inicial'!$AA$1:$AE$5, 2, FALSE))</f>
        <v>0</v>
      </c>
      <c r="J10" s="91">
        <f>SUM(H10:I10)</f>
        <v>0</v>
      </c>
      <c r="K10" s="86"/>
      <c r="L10" s="115"/>
      <c r="M10" s="86" t="str">
        <f>IF(ISBLANK(K10), "", HLOOKUP(K10,'Ficha inicial'!$AF$1:$AW$2, 2, FALSE))</f>
        <v/>
      </c>
      <c r="N10" s="95" t="str">
        <f t="shared" si="1"/>
        <v/>
      </c>
      <c r="O10" s="171" t="s">
        <v>207</v>
      </c>
      <c r="P10" s="172"/>
      <c r="Q10" t="s">
        <v>188</v>
      </c>
      <c r="R10">
        <v>5</v>
      </c>
      <c r="S10">
        <v>3</v>
      </c>
      <c r="T10">
        <v>2</v>
      </c>
      <c r="V10" s="121" t="s">
        <v>182</v>
      </c>
      <c r="W10" s="121">
        <v>1</v>
      </c>
      <c r="X10" s="121">
        <v>3</v>
      </c>
      <c r="Y10" s="121">
        <v>4</v>
      </c>
    </row>
    <row r="11" spans="3:25" x14ac:dyDescent="0.25">
      <c r="C11" s="3" t="s">
        <v>16</v>
      </c>
      <c r="D11" s="98">
        <v>0</v>
      </c>
      <c r="E11" s="3">
        <f>IF(OR(ISBLANK($D$1),  ISBLANK($D$2)),"", HLOOKUP(C11,'Ficha inicial'!$C$1:$J$5, 2, FALSE))</f>
        <v>2</v>
      </c>
      <c r="F11" s="87">
        <f t="shared" si="0"/>
        <v>2</v>
      </c>
      <c r="G11" s="63" t="s">
        <v>35</v>
      </c>
      <c r="H11" s="107">
        <v>0</v>
      </c>
      <c r="I11" s="63">
        <f>IF(OR(ISBLANK($D$1),  ISBLANK($D$2)),"", HLOOKUP(G11,'Ficha inicial'!$AA$1:$AE$5, 2, FALSE))</f>
        <v>0</v>
      </c>
      <c r="J11" s="91">
        <f>SUM(H11:I11)</f>
        <v>0</v>
      </c>
      <c r="K11" s="86"/>
      <c r="L11" s="115"/>
      <c r="M11" s="86" t="str">
        <f>IF(ISBLANK(K11), "", HLOOKUP(K11,'Ficha inicial'!$AF$1:$AW$2, 2, FALSE))</f>
        <v/>
      </c>
      <c r="N11" s="95" t="str">
        <f t="shared" si="1"/>
        <v/>
      </c>
      <c r="O11" s="171"/>
      <c r="P11" s="172"/>
      <c r="Q11" t="s">
        <v>183</v>
      </c>
      <c r="R11">
        <v>5</v>
      </c>
      <c r="S11">
        <v>4</v>
      </c>
      <c r="T11">
        <v>3</v>
      </c>
      <c r="U11" t="s">
        <v>266</v>
      </c>
      <c r="V11" s="121" t="s">
        <v>188</v>
      </c>
      <c r="W11" s="121">
        <v>5</v>
      </c>
      <c r="X11" s="121">
        <v>2</v>
      </c>
      <c r="Y11" s="121">
        <v>3</v>
      </c>
    </row>
    <row r="12" spans="3:25" x14ac:dyDescent="0.25">
      <c r="C12" s="3" t="s">
        <v>17</v>
      </c>
      <c r="D12" s="98">
        <v>0</v>
      </c>
      <c r="E12" s="3">
        <f>IF(OR(ISBLANK($D$1),  ISBLANK($D$2)),"", HLOOKUP(C12,'Ficha inicial'!$C$1:$J$5, 2, FALSE))</f>
        <v>3</v>
      </c>
      <c r="F12" s="87">
        <f t="shared" si="0"/>
        <v>3</v>
      </c>
      <c r="G12" s="63" t="s">
        <v>36</v>
      </c>
      <c r="H12" s="107">
        <v>0</v>
      </c>
      <c r="I12" s="63">
        <f>IF(OR(ISBLANK($D$1),  ISBLANK($D$2)),"", HLOOKUP(G12,'Ficha inicial'!$AA$1:$AE$5, 2, FALSE))</f>
        <v>0</v>
      </c>
      <c r="J12" s="91">
        <f>SUM(H12:I12)</f>
        <v>0</v>
      </c>
      <c r="K12" s="86"/>
      <c r="L12" s="115"/>
      <c r="M12" s="86" t="str">
        <f>IF(ISBLANK(K12), "", HLOOKUP(K12,'Ficha inicial'!$AF$1:$AW$2, 2, FALSE))</f>
        <v/>
      </c>
      <c r="N12" s="95" t="str">
        <f t="shared" si="1"/>
        <v/>
      </c>
      <c r="O12" s="171"/>
      <c r="P12" s="172"/>
      <c r="Q12" t="s">
        <v>187</v>
      </c>
      <c r="R12">
        <v>2</v>
      </c>
      <c r="S12">
        <v>3</v>
      </c>
      <c r="T12">
        <v>2</v>
      </c>
      <c r="V12" s="121" t="s">
        <v>202</v>
      </c>
      <c r="W12" s="121">
        <v>5</v>
      </c>
      <c r="X12" s="121">
        <v>3</v>
      </c>
      <c r="Y12" s="121">
        <v>4</v>
      </c>
    </row>
    <row r="13" spans="3:25" x14ac:dyDescent="0.25">
      <c r="C13" s="88" t="s">
        <v>146</v>
      </c>
      <c r="D13" s="99">
        <f>R6</f>
        <v>10</v>
      </c>
      <c r="E13" s="88" t="s">
        <v>153</v>
      </c>
      <c r="F13" s="88" t="s">
        <v>127</v>
      </c>
      <c r="G13" s="63" t="s">
        <v>193</v>
      </c>
      <c r="H13" s="107">
        <v>0</v>
      </c>
      <c r="I13" s="63">
        <f>IF(OR(ISBLANK($D$1),  ISBLANK($D$2)),"", HLOOKUP(G13,'Ficha inicial'!$AA$1:$AE$5, 2, FALSE))</f>
        <v>1</v>
      </c>
      <c r="J13" s="91">
        <f>SUM(H13:I13)</f>
        <v>1</v>
      </c>
      <c r="K13" s="86"/>
      <c r="L13" s="115"/>
      <c r="M13" s="86" t="str">
        <f>IF(ISBLANK(K13), "", HLOOKUP(K13,'Ficha inicial'!$AF$1:$AW$2, 2, FALSE))</f>
        <v/>
      </c>
      <c r="N13" s="95" t="str">
        <f t="shared" si="1"/>
        <v/>
      </c>
      <c r="O13" s="171"/>
      <c r="P13" s="172"/>
      <c r="V13" s="121" t="s">
        <v>187</v>
      </c>
      <c r="W13" s="121">
        <v>2</v>
      </c>
      <c r="X13" s="121">
        <v>2</v>
      </c>
      <c r="Y13" s="121">
        <v>3</v>
      </c>
    </row>
    <row r="14" spans="3:25" x14ac:dyDescent="0.25">
      <c r="C14" s="59" t="s">
        <v>18</v>
      </c>
      <c r="D14" s="100">
        <v>0</v>
      </c>
      <c r="E14" s="59">
        <f>IF(OR(ISBLANK($D$1),  ISBLANK($D$2)),"", HLOOKUP(C14,'Ficha inicial'!$K$1:$Z$5, 2, FALSE))</f>
        <v>0</v>
      </c>
      <c r="F14" s="88">
        <f t="shared" ref="F14:F25" si="2">SUM(D14,E14)</f>
        <v>0</v>
      </c>
      <c r="G14" s="92" t="s">
        <v>268</v>
      </c>
      <c r="H14" s="108">
        <f>R9</f>
        <v>1</v>
      </c>
      <c r="I14" s="92" t="s">
        <v>153</v>
      </c>
      <c r="J14" s="92" t="s">
        <v>127</v>
      </c>
      <c r="K14" s="86"/>
      <c r="L14" s="115"/>
      <c r="M14" s="86" t="str">
        <f>IF(ISBLANK(K14), "", HLOOKUP(K14,'Ficha inicial'!$AF$1:$AW$2, 2, FALSE))</f>
        <v/>
      </c>
      <c r="N14" s="95" t="str">
        <f t="shared" si="1"/>
        <v/>
      </c>
      <c r="O14" s="171"/>
      <c r="P14" s="172"/>
    </row>
    <row r="15" spans="3:25" ht="15" customHeight="1" x14ac:dyDescent="0.25">
      <c r="C15" s="59" t="s">
        <v>19</v>
      </c>
      <c r="D15" s="100">
        <v>0</v>
      </c>
      <c r="E15" s="59">
        <f>IF(OR(ISBLANK($D$1),  ISBLANK($D$2)),"", HLOOKUP(C15,'Ficha inicial'!$K$1:$Z$5, 2, FALSE))</f>
        <v>1</v>
      </c>
      <c r="F15" s="88">
        <f t="shared" si="2"/>
        <v>1</v>
      </c>
      <c r="G15" s="65" t="s">
        <v>61</v>
      </c>
      <c r="H15" s="109">
        <v>0</v>
      </c>
      <c r="I15" s="65">
        <f>IF(ISBLANK(G15), "", HLOOKUP(G15, 'Ficha inicial'!$AX$1:$BT$5, 2, FALSE))</f>
        <v>1</v>
      </c>
      <c r="J15" s="92">
        <f t="shared" ref="J15:J22" si="3">IF(ISBLANK(G15),"",SUM(H15:I15))</f>
        <v>1</v>
      </c>
      <c r="K15" s="86"/>
      <c r="L15" s="115"/>
      <c r="M15" s="86" t="str">
        <f>IF(ISBLANK(K15), "", HLOOKUP(K15,'Ficha inicial'!$AF$1:$AW$2, 2, FALSE))</f>
        <v/>
      </c>
      <c r="N15" s="95" t="str">
        <f t="shared" si="1"/>
        <v/>
      </c>
      <c r="O15" s="173" t="s">
        <v>208</v>
      </c>
      <c r="P15" s="173"/>
    </row>
    <row r="16" spans="3:25" x14ac:dyDescent="0.25">
      <c r="C16" s="59" t="s">
        <v>20</v>
      </c>
      <c r="D16" s="100">
        <v>0</v>
      </c>
      <c r="E16" s="59">
        <f>IF(OR(ISBLANK($D$1),  ISBLANK($D$2)),"", HLOOKUP(C16,'Ficha inicial'!$K$1:$Z$5, 2, FALSE))</f>
        <v>0</v>
      </c>
      <c r="F16" s="88">
        <f t="shared" si="2"/>
        <v>0</v>
      </c>
      <c r="G16" s="65" t="s">
        <v>62</v>
      </c>
      <c r="H16" s="109">
        <v>0</v>
      </c>
      <c r="I16" s="65">
        <f>IF(ISBLANK(G16), "", HLOOKUP(G16, 'Ficha inicial'!$AX$1:$BT$5, 2, FALSE))</f>
        <v>1</v>
      </c>
      <c r="J16" s="92">
        <f t="shared" si="3"/>
        <v>1</v>
      </c>
      <c r="K16" s="86"/>
      <c r="L16" s="115"/>
      <c r="M16" s="86" t="str">
        <f>IF(ISBLANK(K16), "", HLOOKUP(K16,'Ficha inicial'!$AF$1:$AW$2, 2, FALSE))</f>
        <v/>
      </c>
      <c r="N16" s="95" t="str">
        <f t="shared" si="1"/>
        <v/>
      </c>
      <c r="O16" s="173"/>
      <c r="P16" s="173"/>
    </row>
    <row r="17" spans="3:22" x14ac:dyDescent="0.25">
      <c r="C17" s="59" t="s">
        <v>21</v>
      </c>
      <c r="D17" s="100">
        <v>0</v>
      </c>
      <c r="E17" s="59">
        <f>IF(OR(ISBLANK($D$1),  ISBLANK($D$2)),"", HLOOKUP(C17,'Ficha inicial'!$K$1:$Z$5, 2, FALSE))</f>
        <v>0</v>
      </c>
      <c r="F17" s="88">
        <f t="shared" si="2"/>
        <v>0</v>
      </c>
      <c r="G17" s="65" t="s">
        <v>64</v>
      </c>
      <c r="H17" s="109">
        <v>0</v>
      </c>
      <c r="I17" s="65">
        <f>IF(ISBLANK(G17), "", HLOOKUP(G17, 'Ficha inicial'!$AX$1:$BT$5, 2, FALSE))</f>
        <v>1</v>
      </c>
      <c r="J17" s="92">
        <f t="shared" si="3"/>
        <v>1</v>
      </c>
      <c r="K17" s="86"/>
      <c r="L17" s="115"/>
      <c r="M17" s="86" t="str">
        <f>IF(ISBLANK(K17), "", HLOOKUP(K17,'Ficha inicial'!$AF$1:$AW$2, 2, FALSE))</f>
        <v/>
      </c>
      <c r="N17" s="95" t="str">
        <f t="shared" si="1"/>
        <v/>
      </c>
      <c r="O17" s="173"/>
      <c r="P17" s="173"/>
    </row>
    <row r="18" spans="3:22" x14ac:dyDescent="0.25">
      <c r="C18" s="4" t="s">
        <v>204</v>
      </c>
      <c r="D18" s="100">
        <v>0</v>
      </c>
      <c r="E18" s="59">
        <f>IF(OR(ISBLANK($D$1),  ISBLANK($D$2)),"", HLOOKUP(C18,'Ficha inicial'!$K$1:$Z$5, 2, FALSE))</f>
        <v>0</v>
      </c>
      <c r="F18" s="168">
        <f t="shared" si="2"/>
        <v>0</v>
      </c>
      <c r="G18" s="65"/>
      <c r="H18" s="109">
        <v>0</v>
      </c>
      <c r="I18" s="65" t="str">
        <f>IF(ISBLANK(G18), "", HLOOKUP(G18, 'Ficha inicial'!$AX$1:$BT$5, 2, FALSE))</f>
        <v/>
      </c>
      <c r="J18" s="92" t="str">
        <f t="shared" si="3"/>
        <v/>
      </c>
      <c r="K18" s="93" t="s">
        <v>151</v>
      </c>
      <c r="L18" s="110">
        <f>R10</f>
        <v>5</v>
      </c>
      <c r="M18" s="93" t="s">
        <v>153</v>
      </c>
      <c r="N18" s="93" t="s">
        <v>127</v>
      </c>
      <c r="O18" s="173"/>
      <c r="P18" s="173"/>
    </row>
    <row r="19" spans="3:22" x14ac:dyDescent="0.25">
      <c r="C19" s="4" t="s">
        <v>22</v>
      </c>
      <c r="D19" s="100">
        <v>0</v>
      </c>
      <c r="E19" s="59">
        <f>IF(OR(ISBLANK($D$1),  ISBLANK($D$2)),"", HLOOKUP(C19,'Ficha inicial'!$K$1:$Z$5, 2, FALSE))</f>
        <v>0</v>
      </c>
      <c r="F19" s="168">
        <f t="shared" si="2"/>
        <v>0</v>
      </c>
      <c r="G19" s="65"/>
      <c r="H19" s="109"/>
      <c r="I19" s="65" t="str">
        <f>IF(ISBLANK(G19), "", HLOOKUP(G19, 'Ficha inicial'!$AX$1:$BT$5, 2, FALSE))</f>
        <v/>
      </c>
      <c r="J19" s="92" t="str">
        <f t="shared" si="3"/>
        <v/>
      </c>
      <c r="K19" s="68" t="str">
        <f>'Ficha inicial'!DF1</f>
        <v>Equitación</v>
      </c>
      <c r="L19" s="111">
        <v>0</v>
      </c>
      <c r="M19" s="68">
        <f>IF(OR(ISBLANK($D$1),  ISBLANK($D$2)),"",HLOOKUP(K19,'Ficha inicial'!$DF$1:$DK$2,2,FALSE))</f>
        <v>0</v>
      </c>
      <c r="N19" s="93">
        <f t="shared" ref="N19:N24" si="4">IF(ISBLANK(K19),"",SUM(L19:M19))</f>
        <v>0</v>
      </c>
      <c r="O19" s="173"/>
      <c r="P19" s="173"/>
    </row>
    <row r="20" spans="3:22" ht="15" customHeight="1" x14ac:dyDescent="0.25">
      <c r="C20" s="5" t="s">
        <v>23</v>
      </c>
      <c r="D20" s="122">
        <v>0</v>
      </c>
      <c r="E20" s="5">
        <f>IF(OR(ISBLANK($D$1),  ISBLANK($D$2)),"", HLOOKUP(C20,'Ficha inicial'!$K$1:$Z$5, 2, FALSE))</f>
        <v>0</v>
      </c>
      <c r="F20" s="169">
        <f t="shared" si="2"/>
        <v>0</v>
      </c>
      <c r="G20" s="65"/>
      <c r="H20" s="109"/>
      <c r="I20" s="65" t="str">
        <f>IF(ISBLANK(G20), "", HLOOKUP(G20, 'Ficha inicial'!$AX$1:$BT$5, 2, FALSE))</f>
        <v/>
      </c>
      <c r="J20" s="92" t="str">
        <f t="shared" si="3"/>
        <v/>
      </c>
      <c r="K20" s="68" t="str">
        <f>'Ficha inicial'!DG1</f>
        <v>Pesca</v>
      </c>
      <c r="L20" s="111">
        <v>0</v>
      </c>
      <c r="M20" s="68">
        <f>IF(OR(ISBLANK($D$1),  ISBLANK($D$2)),"",HLOOKUP(K20,'Ficha inicial'!$DF$1:$DK$2,2,FALSE))</f>
        <v>0</v>
      </c>
      <c r="N20" s="93">
        <f t="shared" si="4"/>
        <v>0</v>
      </c>
    </row>
    <row r="21" spans="3:22" x14ac:dyDescent="0.25">
      <c r="C21" s="5" t="s">
        <v>24</v>
      </c>
      <c r="D21" s="122">
        <v>0</v>
      </c>
      <c r="E21" s="5">
        <f>IF(OR(ISBLANK($D$1),  ISBLANK($D$2)),"", HLOOKUP(C21,'Ficha inicial'!$K$1:$Z$5, 2, FALSE))</f>
        <v>2</v>
      </c>
      <c r="F21" s="169">
        <f t="shared" si="2"/>
        <v>2</v>
      </c>
      <c r="G21" s="65"/>
      <c r="H21" s="109"/>
      <c r="I21" s="65" t="str">
        <f>IF(ISBLANK(G21), "", HLOOKUP(G21, 'Ficha inicial'!$AX$1:$BT$5, 2, FALSE))</f>
        <v/>
      </c>
      <c r="J21" s="92" t="str">
        <f t="shared" si="3"/>
        <v/>
      </c>
      <c r="K21" s="68" t="str">
        <f>'Ficha inicial'!DH1</f>
        <v>Arqueología</v>
      </c>
      <c r="L21" s="111">
        <v>0</v>
      </c>
      <c r="M21" s="68">
        <f>IF(OR(ISBLANK($D$1),  ISBLANK($D$2)),"",HLOOKUP(K21,'Ficha inicial'!$DF$1:$DK$2,2,FALSE))</f>
        <v>1</v>
      </c>
      <c r="N21" s="93">
        <f t="shared" si="4"/>
        <v>1</v>
      </c>
    </row>
    <row r="22" spans="3:22" x14ac:dyDescent="0.25">
      <c r="C22" s="5" t="s">
        <v>25</v>
      </c>
      <c r="D22" s="122">
        <v>0</v>
      </c>
      <c r="E22" s="5">
        <f>IF(OR(ISBLANK($D$1),  ISBLANK($D$2)),"", HLOOKUP(C22,'Ficha inicial'!$K$1:$Z$5, 2, FALSE))</f>
        <v>0</v>
      </c>
      <c r="F22" s="169">
        <f t="shared" si="2"/>
        <v>0</v>
      </c>
      <c r="G22" s="65"/>
      <c r="H22" s="109"/>
      <c r="I22" s="65" t="str">
        <f>IF(ISBLANK(G22), "", HLOOKUP(G22, 'Ficha inicial'!$AX$1:$BT$5, 2, FALSE))</f>
        <v/>
      </c>
      <c r="J22" s="92" t="str">
        <f t="shared" si="3"/>
        <v/>
      </c>
      <c r="K22" s="68" t="str">
        <f>'Ficha inicial'!DI1</f>
        <v>Medicina</v>
      </c>
      <c r="L22" s="111">
        <v>0</v>
      </c>
      <c r="M22" s="68">
        <f>IF(OR(ISBLANK($D$1),  ISBLANK($D$2)),"",HLOOKUP(K22,'Ficha inicial'!$DF$1:$DK$2,2,FALSE))</f>
        <v>0</v>
      </c>
      <c r="N22" s="93">
        <f t="shared" si="4"/>
        <v>0</v>
      </c>
    </row>
    <row r="23" spans="3:22" x14ac:dyDescent="0.25">
      <c r="C23" s="6" t="s">
        <v>26</v>
      </c>
      <c r="D23" s="123">
        <v>0</v>
      </c>
      <c r="E23" s="6">
        <f>IF(OR(ISBLANK($D$1),  ISBLANK($D$2)),"", HLOOKUP(C23,'Ficha inicial'!$K$1:$Z$5, 2, FALSE))</f>
        <v>1</v>
      </c>
      <c r="F23" s="170">
        <f t="shared" si="2"/>
        <v>1</v>
      </c>
      <c r="G23" s="94" t="s">
        <v>149</v>
      </c>
      <c r="H23" s="112">
        <f>R9</f>
        <v>1</v>
      </c>
      <c r="I23" s="94" t="s">
        <v>153</v>
      </c>
      <c r="J23" s="94" t="s">
        <v>127</v>
      </c>
      <c r="K23" s="68" t="str">
        <f>'Ficha inicial'!DJ1</f>
        <v>Cocina</v>
      </c>
      <c r="L23" s="111">
        <v>0</v>
      </c>
      <c r="M23" s="68">
        <f>IF(OR(ISBLANK($D$1),  ISBLANK($D$2)),"",HLOOKUP(K23,'Ficha inicial'!$DF$1:$DK$2,2,FALSE))</f>
        <v>0</v>
      </c>
      <c r="N23" s="93">
        <f t="shared" si="4"/>
        <v>0</v>
      </c>
    </row>
    <row r="24" spans="3:22" x14ac:dyDescent="0.25">
      <c r="C24" s="6" t="s">
        <v>27</v>
      </c>
      <c r="D24" s="123">
        <v>0</v>
      </c>
      <c r="E24" s="6">
        <f>IF(OR(ISBLANK($D$1),  ISBLANK($D$2)),"", HLOOKUP(C24,'Ficha inicial'!$K$1:$Z$5, 2, FALSE))</f>
        <v>0</v>
      </c>
      <c r="F24" s="170">
        <f t="shared" si="2"/>
        <v>0</v>
      </c>
      <c r="G24" s="66"/>
      <c r="H24" s="113">
        <v>0</v>
      </c>
      <c r="I24" s="66" t="str">
        <f>IF(ISBLANK(G24), "", HLOOKUP(G24,'Ficha inicial'!$BU$1:$CL$5, 2, FALSE))</f>
        <v/>
      </c>
      <c r="J24" s="94" t="str">
        <f t="shared" ref="J24:J31" si="5">IF(ISBLANK(G24),"",SUM(H24:I24))</f>
        <v/>
      </c>
      <c r="K24" s="68" t="str">
        <f>'Ficha inicial'!DK1</f>
        <v>Conocimiento de la magia</v>
      </c>
      <c r="L24" s="111">
        <v>0</v>
      </c>
      <c r="M24" s="68">
        <f>IF(OR(ISBLANK($D$1),  ISBLANK($D$2)),"",HLOOKUP(K24,'Ficha inicial'!$DF$1:$DK$2,2,FALSE))</f>
        <v>2</v>
      </c>
      <c r="N24" s="93">
        <f t="shared" si="4"/>
        <v>2</v>
      </c>
    </row>
    <row r="25" spans="3:22" ht="15" customHeight="1" x14ac:dyDescent="0.25">
      <c r="C25" s="6" t="s">
        <v>28</v>
      </c>
      <c r="D25" s="123">
        <v>0</v>
      </c>
      <c r="E25" s="6">
        <f>IF(OR(ISBLANK($D$1),  ISBLANK($D$2)),"", HLOOKUP(C25,'Ficha inicial'!$K$1:$Z$5, 2, FALSE))</f>
        <v>1</v>
      </c>
      <c r="F25" s="170">
        <f t="shared" si="2"/>
        <v>1</v>
      </c>
      <c r="G25" s="66"/>
      <c r="H25" s="113">
        <v>0</v>
      </c>
      <c r="I25" s="66" t="str">
        <f>IF(ISBLANK(G25), "", HLOOKUP(G25,'Ficha inicial'!$BU$1:$CL$5, 2, FALSE))</f>
        <v/>
      </c>
      <c r="J25" s="94" t="str">
        <f t="shared" si="5"/>
        <v/>
      </c>
      <c r="K25" s="96" t="s">
        <v>150</v>
      </c>
      <c r="L25" s="116">
        <f>R12</f>
        <v>2</v>
      </c>
      <c r="M25" s="96" t="s">
        <v>153</v>
      </c>
      <c r="N25" s="96" t="s">
        <v>127</v>
      </c>
    </row>
    <row r="26" spans="3:22" x14ac:dyDescent="0.25">
      <c r="C26" s="6" t="s">
        <v>203</v>
      </c>
      <c r="D26" s="123">
        <v>0</v>
      </c>
      <c r="E26" s="6">
        <f>IF(OR(ISBLANK($D$1),  ISBLANK($D$2)),"", HLOOKUP(C26,'Ficha inicial'!$K$1:$Z$5, 2, FALSE))</f>
        <v>0</v>
      </c>
      <c r="F26" s="170">
        <f t="shared" ref="F26" si="6">SUM(D26,E26)</f>
        <v>0</v>
      </c>
      <c r="G26" s="66"/>
      <c r="H26" s="113">
        <v>0</v>
      </c>
      <c r="I26" s="66" t="str">
        <f>IF(ISBLANK(G26), "", HLOOKUP(G26,'Ficha inicial'!$BU$1:$CL$5, 2, FALSE))</f>
        <v/>
      </c>
      <c r="J26" s="94" t="str">
        <f t="shared" si="5"/>
        <v/>
      </c>
      <c r="K26" s="67" t="s">
        <v>96</v>
      </c>
      <c r="L26" s="117">
        <v>0</v>
      </c>
      <c r="M26" s="67">
        <f>IF(ISBLANK(K26), "", HLOOKUP(K26,'Ficha inicial'!$CM$1:$DE$5, 2, FALSE))</f>
        <v>1</v>
      </c>
      <c r="N26" s="96">
        <f>IF(ISBLANK(K26),"",SUM(L26:M26))</f>
        <v>1</v>
      </c>
      <c r="V26" s="124"/>
    </row>
    <row r="27" spans="3:22" x14ac:dyDescent="0.25">
      <c r="C27" s="89" t="s">
        <v>152</v>
      </c>
      <c r="D27" s="101"/>
      <c r="E27" s="89" t="s">
        <v>153</v>
      </c>
      <c r="F27" s="89" t="s">
        <v>127</v>
      </c>
      <c r="G27" s="66"/>
      <c r="H27" s="113">
        <v>0</v>
      </c>
      <c r="I27" s="66" t="str">
        <f>IF(ISBLANK(G27), "", HLOOKUP(G27,'Ficha inicial'!$BU$1:$CL$5, 2, FALSE))</f>
        <v/>
      </c>
      <c r="J27" s="94" t="str">
        <f t="shared" si="5"/>
        <v/>
      </c>
      <c r="K27" s="67" t="s">
        <v>100</v>
      </c>
      <c r="L27" s="117">
        <v>0</v>
      </c>
      <c r="M27" s="67">
        <f>IF(ISBLANK(K27), "", HLOOKUP(K27,'Ficha inicial'!$CM$1:$DE$5, 2, FALSE))</f>
        <v>1</v>
      </c>
      <c r="N27" s="96">
        <f>IF(ISBLANK(K27),"",SUM(L27:M27))</f>
        <v>1</v>
      </c>
      <c r="V27" s="124"/>
    </row>
    <row r="28" spans="3:22" x14ac:dyDescent="0.25">
      <c r="C28" s="69" t="s">
        <v>121</v>
      </c>
      <c r="D28" s="102">
        <v>0</v>
      </c>
      <c r="E28" s="69">
        <f>IF(OR(ISBLANK($D$1),  ISBLANK($D$2)),"", HLOOKUP(C28,'Ficha inicial'!$DL$1:$DS$5,2,FALSE))</f>
        <v>0</v>
      </c>
      <c r="F28" s="89">
        <f t="shared" ref="F28:F32" si="7">SUM(D28:E28)</f>
        <v>0</v>
      </c>
      <c r="G28" s="66"/>
      <c r="H28" s="113">
        <v>0</v>
      </c>
      <c r="I28" s="66" t="str">
        <f>IF(ISBLANK(G28), "", HLOOKUP(G28,'Ficha inicial'!$BU$1:$CL$5, 2, FALSE))</f>
        <v/>
      </c>
      <c r="J28" s="94" t="str">
        <f t="shared" si="5"/>
        <v/>
      </c>
      <c r="K28" s="67" t="s">
        <v>104</v>
      </c>
      <c r="L28" s="117">
        <v>0</v>
      </c>
      <c r="M28" s="67">
        <f>IF(ISBLANK(K28), "", HLOOKUP(K28,'Ficha inicial'!$CM$1:$DE$5, 2, FALSE))</f>
        <v>1</v>
      </c>
      <c r="N28" s="96">
        <f>IF(ISBLANK(K28),"",SUM(L28:M28))</f>
        <v>1</v>
      </c>
      <c r="V28" s="124"/>
    </row>
    <row r="29" spans="3:22" x14ac:dyDescent="0.25">
      <c r="C29" s="69" t="s">
        <v>209</v>
      </c>
      <c r="D29" s="102">
        <v>0</v>
      </c>
      <c r="E29" s="69">
        <f>IF(OR(ISBLANK($D$1),  ISBLANK($D$2)),"", HLOOKUP(C29,'Ficha inicial'!$DL$1:$DS$5,2,FALSE))</f>
        <v>0</v>
      </c>
      <c r="F29" s="89">
        <f t="shared" si="7"/>
        <v>0</v>
      </c>
      <c r="G29" s="66"/>
      <c r="H29" s="113">
        <v>0</v>
      </c>
      <c r="I29" s="66" t="str">
        <f>IF(ISBLANK(G29), "", HLOOKUP(G29,'Ficha inicial'!$BU$1:$CL$5, 2, FALSE))</f>
        <v/>
      </c>
      <c r="J29" s="94" t="str">
        <f t="shared" si="5"/>
        <v/>
      </c>
      <c r="K29" s="67"/>
      <c r="L29" s="117">
        <v>0</v>
      </c>
      <c r="M29" s="67" t="str">
        <f>IF(ISBLANK(K29), "", HLOOKUP(K29,'Ficha inicial'!$CM$1:$DE$5, 2, FALSE))</f>
        <v/>
      </c>
      <c r="N29" s="96" t="str">
        <f t="shared" ref="N29:N31" si="8">IF(ISBLANK(K29),"",SUM(L29:M29))</f>
        <v/>
      </c>
      <c r="V29" s="124"/>
    </row>
    <row r="30" spans="3:22" x14ac:dyDescent="0.25">
      <c r="C30" s="69" t="s">
        <v>122</v>
      </c>
      <c r="D30" s="102">
        <v>0</v>
      </c>
      <c r="E30" s="69">
        <f>IF(OR(ISBLANK($D$1),  ISBLANK($D$2)),"", HLOOKUP(C30,'Ficha inicial'!$DL$1:$DS$5,2,FALSE))</f>
        <v>1</v>
      </c>
      <c r="F30" s="89">
        <f t="shared" si="7"/>
        <v>1</v>
      </c>
      <c r="G30" s="66"/>
      <c r="H30" s="113">
        <v>0</v>
      </c>
      <c r="I30" s="66" t="str">
        <f>IF(ISBLANK(G30), "", HLOOKUP(G30,'Ficha inicial'!$BU$1:$CL$5, 2, FALSE))</f>
        <v/>
      </c>
      <c r="J30" s="94" t="str">
        <f t="shared" si="5"/>
        <v/>
      </c>
      <c r="K30" s="67"/>
      <c r="L30" s="117">
        <v>0</v>
      </c>
      <c r="M30" s="67" t="str">
        <f>IF(ISBLANK(K30), "", HLOOKUP(K30,'Ficha inicial'!$CM$1:$DE$5, 2, FALSE))</f>
        <v/>
      </c>
      <c r="N30" s="96" t="str">
        <f t="shared" si="8"/>
        <v/>
      </c>
      <c r="V30" s="124"/>
    </row>
    <row r="31" spans="3:22" x14ac:dyDescent="0.25">
      <c r="C31" s="69" t="s">
        <v>123</v>
      </c>
      <c r="D31" s="102">
        <v>0</v>
      </c>
      <c r="E31" s="69">
        <f>IF(OR(ISBLANK($D$1),  ISBLANK($D$2)),"", HLOOKUP(C31,'Ficha inicial'!$DL$1:$DS$5,2,FALSE))</f>
        <v>1</v>
      </c>
      <c r="F31" s="89">
        <f t="shared" si="7"/>
        <v>1</v>
      </c>
      <c r="G31" s="66"/>
      <c r="H31" s="113">
        <v>0</v>
      </c>
      <c r="I31" s="66" t="str">
        <f>IF(ISBLANK(G31), "", HLOOKUP(G31,'Ficha inicial'!$BU$1:$CL$5, 2, FALSE))</f>
        <v/>
      </c>
      <c r="J31" s="94" t="str">
        <f t="shared" si="5"/>
        <v/>
      </c>
      <c r="K31" s="67"/>
      <c r="L31" s="117">
        <v>0</v>
      </c>
      <c r="M31" s="67" t="str">
        <f>IF(ISBLANK(K31), "", HLOOKUP(K31,'Ficha inicial'!$CM$1:$DE$5, 2, FALSE))</f>
        <v/>
      </c>
      <c r="N31" s="96" t="str">
        <f t="shared" si="8"/>
        <v/>
      </c>
      <c r="V31" s="124"/>
    </row>
    <row r="32" spans="3:22" x14ac:dyDescent="0.25">
      <c r="C32" s="69" t="s">
        <v>236</v>
      </c>
      <c r="D32" s="102">
        <v>0</v>
      </c>
      <c r="E32" s="69">
        <f>IF(OR(ISBLANK($D$1),  ISBLANK($D$2)),"", HLOOKUP(C32,'Ficha inicial'!$DL$1:$DS$5,2,FALSE))</f>
        <v>1</v>
      </c>
      <c r="F32" s="89">
        <f t="shared" si="7"/>
        <v>1</v>
      </c>
    </row>
    <row r="33" spans="3:6" x14ac:dyDescent="0.25">
      <c r="C33" s="69" t="s">
        <v>124</v>
      </c>
      <c r="D33" s="102">
        <v>0</v>
      </c>
      <c r="E33" s="69">
        <f>IF(OR(ISBLANK($D$1),  ISBLANK($D$2)),"", HLOOKUP(C33,'Ficha inicial'!$DL$1:$DS$5,2,FALSE))</f>
        <v>0</v>
      </c>
      <c r="F33" s="89">
        <f>SUM(D33:E33)</f>
        <v>0</v>
      </c>
    </row>
    <row r="34" spans="3:6" x14ac:dyDescent="0.25">
      <c r="C34" s="69" t="s">
        <v>125</v>
      </c>
      <c r="D34" s="102">
        <v>0</v>
      </c>
      <c r="E34" s="69">
        <f>IF(OR(ISBLANK($D$1),  ISBLANK($D$2)),"", HLOOKUP(C34,'Ficha inicial'!$DL$1:$DS$5,2,FALSE))</f>
        <v>0</v>
      </c>
      <c r="F34" s="89">
        <f>SUM(D34:E34)</f>
        <v>0</v>
      </c>
    </row>
    <row r="35" spans="3:6" x14ac:dyDescent="0.25">
      <c r="C35" s="69" t="s">
        <v>126</v>
      </c>
      <c r="D35" s="102">
        <v>0</v>
      </c>
      <c r="E35" s="69">
        <f>IF(OR(ISBLANK($D$1),  ISBLANK($D$2)),"", HLOOKUP(C35,'Ficha inicial'!$DL$1:$DS$5,2,FALSE))</f>
        <v>0</v>
      </c>
      <c r="F35" s="89">
        <f>SUM(D35:E35)</f>
        <v>0</v>
      </c>
    </row>
  </sheetData>
  <sheetProtection algorithmName="SHA-512" hashValue="9BAKm28Bqnl+p9iWrOKr53aAZr3FMixIoZ2FNXLAejJaz7/uWCTZFq2Q89NvDbS89EmGvvNASj0RHLrDDo0BfQ==" saltValue="oqq2xdyCABF5Dfn7xsHhlg==" spinCount="100000" sheet="1" objects="1" scenarios="1"/>
  <protectedRanges>
    <protectedRange sqref="D1:F2" name="Rango5"/>
    <protectedRange sqref="G15:G22" name="Rango1"/>
    <protectedRange sqref="G24:G31" name="Rango2"/>
    <protectedRange sqref="K5:K17" name="Rango3"/>
    <protectedRange sqref="K26:K31" name="Rango4"/>
  </protectedRanges>
  <mergeCells count="6">
    <mergeCell ref="O5:P9"/>
    <mergeCell ref="O10:P14"/>
    <mergeCell ref="O15:P19"/>
    <mergeCell ref="X4:Y4"/>
    <mergeCell ref="D1:G1"/>
    <mergeCell ref="D2:G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AtrDecrVigor">
              <controlPr defaultSize="0" print="0" autoFill="0" autoPict="0" macro="[0]!DecrementarVigor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3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AtrIncrVigor">
              <controlPr defaultSize="0" print="0" autoFill="0" autoPict="0" macro="[0]!IncrementarVigor">
                <anchor moveWithCells="1" sizeWithCells="1">
                  <from>
                    <xdr:col>3</xdr:col>
                    <xdr:colOff>438150</xdr:colOff>
                    <xdr:row>4</xdr:row>
                    <xdr:rowOff>0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AtrDecrDestreza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3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AtrDecrInteligencia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AtrDecrVoluntad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AtrDecrPercepción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AtrDecrCarisma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AtrDecrAguante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9525</xdr:rowOff>
                  </from>
                  <to>
                    <xdr:col>3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AtrDecrEnergia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9525</xdr:rowOff>
                  </from>
                  <to>
                    <xdr:col>3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AtrIncrDestreza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AtrIncrInteligencia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AtrIncrVoluntad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AtrIncrPercepcion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AtrIncrCarisma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AtrIncrAguante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AtrIncrEnergia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HabDecrAtletismo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3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HabIncrAtletismo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HabDecrSigilo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3" name="Button 33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4" name="Button 34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5" name="Button 3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6" name="Button 36">
              <controlPr defaultSize="0" print="0" autoFill="0" autoPict="0" macro="[0]!DecrementarTreparEscalar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7" name="Button 37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8" name="Button 38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9" name="Button 39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0" name="Button 40">
              <controlPr defaultSize="0" print="0" autoFill="0" autoPict="0" macro="[0]!IncrementarTreparEscalar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1" name="Button 4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2" name="Button 42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3" name="Button 43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4" name="Button 44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5" name="Button 45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6" name="Button 46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7" name="Button 47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8" name="Button 48">
              <controlPr defaultSize="0" print="0" autoFill="0" autoPict="0" macro="[0]!DecrementarParada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9" name="Button 49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0" name="Button 50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1" name="Button 51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2" name="Button 52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3" name="Button 53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4" name="Button 54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5" name="Button 57">
              <controlPr defaultSize="0" print="0" autoFill="0" autoPict="0" macro="[0]!IncrementarParada">
                <anchor moveWithCells="1" sizeWithCells="1">
                  <from>
                    <xdr:col>7</xdr:col>
                    <xdr:colOff>409575</xdr:colOff>
                    <xdr:row>4</xdr:row>
                    <xdr:rowOff>9525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6" name="Button 58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7" name="Button 60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8" name="Button 61">
              <controlPr defaultSize="0" print="0" autoFill="0" autoPict="0" macro="[0]!IncrementarTaumaturgia">
                <anchor moveWithCells="1" sizeWithCells="1">
                  <from>
                    <xdr:col>7</xdr:col>
                    <xdr:colOff>409575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9" name="Button 62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0" name="Button 63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1" name="Button 64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2" name="Button 6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3" name="Button 66">
              <controlPr defaultSize="0" print="0" autoFill="0" autoPict="0" macro="[0]!IncrH16">
                <anchor moveWithCells="1" sizeWithCells="1">
                  <from>
                    <xdr:col>7</xdr:col>
                    <xdr:colOff>409575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4" name="Button 67">
              <controlPr defaultSize="0" print="0" autoFill="0" autoPict="0" macro="[0]!IncrH17">
                <anchor moveWithCells="1" sizeWithCells="1">
                  <from>
                    <xdr:col>7</xdr:col>
                    <xdr:colOff>409575</xdr:colOff>
                    <xdr:row>15</xdr:row>
                    <xdr:rowOff>9525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5" name="Button 68">
              <controlPr defaultSize="0" print="0" autoFill="0" autoPict="0" macro="[0]!IncrH18">
                <anchor moveWithCells="1" sizeWithCells="1">
                  <from>
                    <xdr:col>7</xdr:col>
                    <xdr:colOff>409575</xdr:colOff>
                    <xdr:row>16</xdr:row>
                    <xdr:rowOff>9525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6" name="Button 69">
              <controlPr defaultSize="0" print="0" autoFill="0" autoPict="0" macro="[0]!IncrH19">
                <anchor moveWithCells="1" sizeWithCells="1">
                  <from>
                    <xdr:col>7</xdr:col>
                    <xdr:colOff>409575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7" name="Button 70">
              <controlPr defaultSize="0" print="0" autoFill="0" autoPict="0" macro="[0]!IncrH20">
                <anchor moveWithCells="1" sizeWithCells="1">
                  <from>
                    <xdr:col>7</xdr:col>
                    <xdr:colOff>409575</xdr:colOff>
                    <xdr:row>18</xdr:row>
                    <xdr:rowOff>9525</xdr:rowOff>
                  </from>
                  <to>
                    <xdr:col>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8" name="Button 71">
              <controlPr defaultSize="0" print="0" autoFill="0" autoPict="0" macro="[0]!IncrH21">
                <anchor moveWithCells="1" sizeWithCells="1">
                  <from>
                    <xdr:col>7</xdr:col>
                    <xdr:colOff>409575</xdr:colOff>
                    <xdr:row>19</xdr:row>
                    <xdr:rowOff>9525</xdr:rowOff>
                  </from>
                  <to>
                    <xdr:col>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Button 72">
              <controlPr defaultSize="0" print="0" autoFill="0" autoPict="0" macro="[0]!IncrH22">
                <anchor moveWithCells="1" sizeWithCells="1">
                  <from>
                    <xdr:col>7</xdr:col>
                    <xdr:colOff>409575</xdr:colOff>
                    <xdr:row>20</xdr:row>
                    <xdr:rowOff>9525</xdr:rowOff>
                  </from>
                  <to>
                    <xdr:col>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60" name="Button 73">
              <controlPr defaultSize="0" print="0" autoFill="0" autoPict="0" macro="[0]!IncrH23">
                <anchor moveWithCells="1" sizeWithCells="1">
                  <from>
                    <xdr:col>7</xdr:col>
                    <xdr:colOff>409575</xdr:colOff>
                    <xdr:row>21</xdr:row>
                    <xdr:rowOff>9525</xdr:rowOff>
                  </from>
                  <to>
                    <xdr:col>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1" name="Button 74">
              <controlPr defaultSize="0" print="0" autoFill="0" autoPict="0" macro="[0]!IncrementarEquitacion">
                <anchor moveWithCells="1" sizeWithCells="1">
                  <from>
                    <xdr:col>11</xdr:col>
                    <xdr:colOff>571500</xdr:colOff>
                    <xdr:row>18</xdr:row>
                    <xdr:rowOff>9525</xdr:rowOff>
                  </from>
                  <to>
                    <xdr:col>11</xdr:col>
                    <xdr:colOff>752475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2" name="Button 81">
              <controlPr defaultSize="0" print="0" autoFill="0" autoPict="0" macro="[0]!IncrH24">
                <anchor moveWithCells="1" sizeWithCells="1">
                  <from>
                    <xdr:col>7</xdr:col>
                    <xdr:colOff>400050</xdr:colOff>
                    <xdr:row>23</xdr:row>
                    <xdr:rowOff>9525</xdr:rowOff>
                  </from>
                  <to>
                    <xdr:col>7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3" name="Button 82">
              <controlPr defaultSize="0" print="0" autoFill="0" autoPict="0" macro="[0]!IncrH25">
                <anchor moveWithCells="1" sizeWithCells="1">
                  <from>
                    <xdr:col>7</xdr:col>
                    <xdr:colOff>400050</xdr:colOff>
                    <xdr:row>24</xdr:row>
                    <xdr:rowOff>9525</xdr:rowOff>
                  </from>
                  <to>
                    <xdr:col>7</xdr:col>
                    <xdr:colOff>581025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4" name="Button 83">
              <controlPr defaultSize="0" print="0" autoFill="0" autoPict="0" macro="[0]!IncrH26">
                <anchor moveWithCells="1" sizeWithCells="1">
                  <from>
                    <xdr:col>7</xdr:col>
                    <xdr:colOff>400050</xdr:colOff>
                    <xdr:row>25</xdr:row>
                    <xdr:rowOff>9525</xdr:rowOff>
                  </from>
                  <to>
                    <xdr:col>7</xdr:col>
                    <xdr:colOff>581025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5" name="Button 84">
              <controlPr defaultSize="0" print="0" autoFill="0" autoPict="0" macro="[0]!IncrH27">
                <anchor moveWithCells="1" sizeWithCells="1">
                  <from>
                    <xdr:col>7</xdr:col>
                    <xdr:colOff>400050</xdr:colOff>
                    <xdr:row>26</xdr:row>
                    <xdr:rowOff>9525</xdr:rowOff>
                  </from>
                  <to>
                    <xdr:col>7</xdr:col>
                    <xdr:colOff>581025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6" name="Button 85">
              <controlPr defaultSize="0" print="0" autoFill="0" autoPict="0" macro="[0]!IncrH28">
                <anchor moveWithCells="1" sizeWithCells="1">
                  <from>
                    <xdr:col>7</xdr:col>
                    <xdr:colOff>400050</xdr:colOff>
                    <xdr:row>27</xdr:row>
                    <xdr:rowOff>9525</xdr:rowOff>
                  </from>
                  <to>
                    <xdr:col>7</xdr:col>
                    <xdr:colOff>581025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7" name="Button 86">
              <controlPr defaultSize="0" print="0" autoFill="0" autoPict="0" macro="[0]!IncrH29">
                <anchor moveWithCells="1" sizeWithCells="1">
                  <from>
                    <xdr:col>7</xdr:col>
                    <xdr:colOff>400050</xdr:colOff>
                    <xdr:row>28</xdr:row>
                    <xdr:rowOff>9525</xdr:rowOff>
                  </from>
                  <to>
                    <xdr:col>7</xdr:col>
                    <xdr:colOff>581025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68" name="Button 87">
              <controlPr defaultSize="0" print="0" autoFill="0" autoPict="0" macro="[0]!IncrH30">
                <anchor moveWithCells="1" sizeWithCells="1">
                  <from>
                    <xdr:col>7</xdr:col>
                    <xdr:colOff>400050</xdr:colOff>
                    <xdr:row>29</xdr:row>
                    <xdr:rowOff>9525</xdr:rowOff>
                  </from>
                  <to>
                    <xdr:col>7</xdr:col>
                    <xdr:colOff>581025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9" name="Button 88">
              <controlPr defaultSize="0" print="0" autoFill="0" autoPict="0" macro="[0]!IncrH31">
                <anchor moveWithCells="1" sizeWithCells="1">
                  <from>
                    <xdr:col>7</xdr:col>
                    <xdr:colOff>409575</xdr:colOff>
                    <xdr:row>30</xdr:row>
                    <xdr:rowOff>9525</xdr:rowOff>
                  </from>
                  <to>
                    <xdr:col>8</xdr:col>
                    <xdr:colOff>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0" name="Button 89">
              <controlPr defaultSize="0" print="0" autoFill="0" autoPict="0" macro="[0]!IncrementarArma1">
                <anchor moveWithCells="1" sizeWithCells="1">
                  <from>
                    <xdr:col>11</xdr:col>
                    <xdr:colOff>590550</xdr:colOff>
                    <xdr:row>4</xdr:row>
                    <xdr:rowOff>9525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1" name="Button 9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2" name="Button 9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3" name="Button 92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4" name="Button 9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Button 9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6" name="Button 9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7" name="Button 96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8" name="Button 97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9" name="Button 98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80" name="Button 9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81" name="Button 100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82" name="Button 10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83" name="Button 102">
              <controlPr defaultSize="0" print="0" autoFill="0" autoPict="0" macro="[0]!IncrementarProfesion1">
                <anchor moveWithCells="1" sizeWithCells="1">
                  <from>
                    <xdr:col>11</xdr:col>
                    <xdr:colOff>590550</xdr:colOff>
                    <xdr:row>25</xdr:row>
                    <xdr:rowOff>9525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84" name="Button 103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85" name="Button 104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6" name="Button 119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7" name="Button 121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8" name="Button 122">
              <controlPr defaultSize="0" print="0" autoFill="0" autoPict="0" macro="[0]!DecrementarTaumaturgia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7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9" name="Button 123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90" name="Button 124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91" name="Button 125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92" name="Button 1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93" name="Button 127">
              <controlPr defaultSize="0" print="0" autoFill="0" autoPict="0" macro="[0]!DecrH16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7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94" name="Button 128">
              <controlPr defaultSize="0" print="0" autoFill="0" autoPict="0" macro="[0]!DecrH17">
                <anchor moveWithCells="1" siz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5" name="Button 129">
              <controlPr defaultSize="0" print="0" autoFill="0" autoPict="0" macro="[0]!DecrH18">
                <anchor moveWithCells="1" sizeWithCells="1">
                  <from>
                    <xdr:col>7</xdr:col>
                    <xdr:colOff>9525</xdr:colOff>
                    <xdr:row>16</xdr:row>
                    <xdr:rowOff>9525</xdr:rowOff>
                  </from>
                  <to>
                    <xdr:col>7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6" name="Button 130">
              <controlPr defaultSize="0" print="0" autoFill="0" autoPict="0" macro="[0]!DecrH19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7" name="Button 131">
              <controlPr defaultSize="0" print="0" autoFill="0" autoPict="0" macro="[0]!DecrH20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8" name="Button 132">
              <controlPr defaultSize="0" print="0" autoFill="0" autoPict="0" macro="[0]!DecrH21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9" name="Button 133">
              <controlPr defaultSize="0" print="0" autoFill="0" autoPict="0" macro="[0]!DecrH22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00" name="Button 134">
              <controlPr defaultSize="0" print="0" autoFill="0" autoPict="0" macro="[0]!DecrH23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01" name="Button 135">
              <controlPr defaultSize="0" print="0" autoFill="0" autoPict="0" macro="[0]!DecrementarEquitacion">
                <anchor moveWithCells="1" sizeWithCells="1">
                  <from>
                    <xdr:col>11</xdr:col>
                    <xdr:colOff>9525</xdr:colOff>
                    <xdr:row>18</xdr:row>
                    <xdr:rowOff>9525</xdr:rowOff>
                  </from>
                  <to>
                    <xdr:col>11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2" name="Button 13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3" name="Button 13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4" name="Button 13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5" name="Button 13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6" name="Button 14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7" name="Button 142">
              <controlPr defaultSize="0" print="0" autoFill="0" autoPict="0" macro="[0]!DecrH24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8" name="Button 143">
              <controlPr defaultSize="0" print="0" autoFill="0" autoPict="0" macro="[0]!DecrH25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9" name="Button 144">
              <controlPr defaultSize="0" print="0" autoFill="0" autoPict="0" macro="[0]!DecrH26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10" name="Button 145">
              <controlPr defaultSize="0" print="0" autoFill="0" autoPict="0" macro="[0]!DecrH27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11" name="Button 146">
              <controlPr defaultSize="0" print="0" autoFill="0" autoPict="0" macro="[0]!DecrH28">
                <anchor moveWithCells="1" sizeWithCells="1">
                  <from>
                    <xdr:col>7</xdr:col>
                    <xdr:colOff>9525</xdr:colOff>
                    <xdr:row>27</xdr:row>
                    <xdr:rowOff>9525</xdr:rowOff>
                  </from>
                  <to>
                    <xdr:col>7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12" name="Button 147">
              <controlPr defaultSize="0" print="0" autoFill="0" autoPict="0" macro="[0]!DecrH29">
                <anchor moveWithCells="1" sizeWithCells="1">
                  <from>
                    <xdr:col>7</xdr:col>
                    <xdr:colOff>9525</xdr:colOff>
                    <xdr:row>28</xdr:row>
                    <xdr:rowOff>9525</xdr:rowOff>
                  </from>
                  <to>
                    <xdr:col>7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13" name="Button 148">
              <controlPr defaultSize="0" print="0" autoFill="0" autoPict="0" macro="[0]!DecrH3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4" name="Button 149">
              <controlPr defaultSize="0" print="0" autoFill="0" autoPict="0" macro="[0]!DecrH31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5" name="Button 150">
              <controlPr defaultSize="0" print="0" autoFill="0" autoPict="0" macro="[0]!DecrementarArma1">
                <anchor moveWithCells="1" sizeWithCells="1">
                  <from>
                    <xdr:col>11</xdr:col>
                    <xdr:colOff>9525</xdr:colOff>
                    <xdr:row>4</xdr:row>
                    <xdr:rowOff>9525</xdr:rowOff>
                  </from>
                  <to>
                    <xdr:col>11</xdr:col>
                    <xdr:colOff>180975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6" name="Button 15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7" name="Button 15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8" name="Button 153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9" name="Button 15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0" name="Button 15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1" name="Button 15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2" name="Button 157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3" name="Button 158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Button 159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5" name="Button 16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6" name="Button 161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7" name="Button 16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8" name="Button 163">
              <controlPr defaultSize="0" print="0" autoFill="0" autoPict="0" macro="[0]!DecrementarProfesion1">
                <anchor moveWithCells="1" sizeWithCells="1">
                  <from>
                    <xdr:col>11</xdr:col>
                    <xdr:colOff>9525</xdr:colOff>
                    <xdr:row>25</xdr:row>
                    <xdr:rowOff>9525</xdr:rowOff>
                  </from>
                  <to>
                    <xdr:col>11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9" name="Button 164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30" name="Button 165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1" name="Button 177">
              <controlPr defaultSize="0" print="0" autoFill="0" autoPict="0" macro="[0]!IncrementarArma2">
                <anchor moveWithCells="1" sizeWithCells="1">
                  <from>
                    <xdr:col>11</xdr:col>
                    <xdr:colOff>590550</xdr:colOff>
                    <xdr:row>5</xdr:row>
                    <xdr:rowOff>9525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2" name="Button 178">
              <controlPr defaultSize="0" print="0" autoFill="0" autoPict="0" macro="[0]!DecrementarArma2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11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3" name="Button 179">
              <controlPr defaultSize="0" print="0" autoFill="0" autoPict="0" macro="[0]!IncrementarArma3">
                <anchor moveWithCells="1" sizeWithCells="1">
                  <from>
                    <xdr:col>11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34" name="Button 180">
              <controlPr defaultSize="0" print="0" autoFill="0" autoPict="0" macro="[0]!DecrementarArma3">
                <anchor moveWithCells="1" sizeWithCells="1">
                  <from>
                    <xdr:col>11</xdr:col>
                    <xdr:colOff>9525</xdr:colOff>
                    <xdr:row>6</xdr:row>
                    <xdr:rowOff>9525</xdr:rowOff>
                  </from>
                  <to>
                    <xdr:col>11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35" name="Button 181">
              <controlPr defaultSize="0" print="0" autoFill="0" autoPict="0" macro="[0]!IncrementarArma4">
                <anchor moveWithCells="1" siz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36" name="Button 182">
              <controlPr defaultSize="0" print="0" autoFill="0" autoPict="0" macro="[0]!DecrementarArma4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180975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37" name="Button 183">
              <controlPr defaultSize="0" print="0" autoFill="0" autoPict="0" macro="[0]!IncrementarArma5">
                <anchor moveWithCells="1" sizeWithCells="1">
                  <from>
                    <xdr:col>11</xdr:col>
                    <xdr:colOff>590550</xdr:colOff>
                    <xdr:row>8</xdr:row>
                    <xdr:rowOff>9525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38" name="Button 184">
              <controlPr defaultSize="0" print="0" autoFill="0" autoPict="0" macro="[0]!DecrementarArma5">
                <anchor moveWithCells="1" sizeWithCells="1">
                  <from>
                    <xdr:col>11</xdr:col>
                    <xdr:colOff>9525</xdr:colOff>
                    <xdr:row>8</xdr:row>
                    <xdr:rowOff>9525</xdr:rowOff>
                  </from>
                  <to>
                    <xdr:col>11</xdr:col>
                    <xdr:colOff>180975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39" name="Button 185">
              <controlPr defaultSize="0" print="0" autoFill="0" autoPict="0" macro="[0]!IncrementarArma6">
                <anchor moveWithCells="1" sizeWithCells="1">
                  <from>
                    <xdr:col>11</xdr:col>
                    <xdr:colOff>590550</xdr:colOff>
                    <xdr:row>9</xdr:row>
                    <xdr:rowOff>9525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40" name="Button 186">
              <controlPr defaultSize="0" print="0" autoFill="0" autoPict="0" macro="[0]!DecrementarArma6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41" name="Button 187">
              <controlPr defaultSize="0" print="0" autoFill="0" autoPict="0" macro="[0]!IncrementarArma7">
                <anchor moveWithCells="1" sizeWithCells="1">
                  <from>
                    <xdr:col>11</xdr:col>
                    <xdr:colOff>590550</xdr:colOff>
                    <xdr:row>10</xdr:row>
                    <xdr:rowOff>9525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42" name="Button 188">
              <controlPr defaultSize="0" print="0" autoFill="0" autoPict="0" macro="[0]!DecrementarArma7">
                <anchor moveWithCells="1" sizeWithCells="1">
                  <from>
                    <xdr:col>11</xdr:col>
                    <xdr:colOff>9525</xdr:colOff>
                    <xdr:row>10</xdr:row>
                    <xdr:rowOff>9525</xdr:rowOff>
                  </from>
                  <to>
                    <xdr:col>11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43" name="Button 189">
              <controlPr defaultSize="0" print="0" autoFill="0" autoPict="0" macro="[0]!IncrementarArma8">
                <anchor moveWithCells="1" sizeWithCells="1">
                  <from>
                    <xdr:col>11</xdr:col>
                    <xdr:colOff>590550</xdr:colOff>
                    <xdr:row>11</xdr:row>
                    <xdr:rowOff>9525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44" name="Button 190">
              <controlPr defaultSize="0" print="0" autoFill="0" autoPict="0" macro="[0]!DecrementarArma8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5" name="Button 191">
              <controlPr defaultSize="0" print="0" autoFill="0" autoPict="0" macro="[0]!IncrementarArma9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46" name="Button 192">
              <controlPr defaultSize="0" print="0" autoFill="0" autoPict="0" macro="[0]!DecrementarArma9">
                <anchor moveWithCells="1" sizeWithCells="1">
                  <from>
                    <xdr:col>11</xdr:col>
                    <xdr:colOff>9525</xdr:colOff>
                    <xdr:row>12</xdr:row>
                    <xdr:rowOff>9525</xdr:rowOff>
                  </from>
                  <to>
                    <xdr:col>11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47" name="Button 193">
              <controlPr defaultSize="0" print="0" autoFill="0" autoPict="0" macro="[0]!IncrementarArma10">
                <anchor moveWithCells="1" sizeWithCells="1">
                  <from>
                    <xdr:col>11</xdr:col>
                    <xdr:colOff>590550</xdr:colOff>
                    <xdr:row>13</xdr:row>
                    <xdr:rowOff>9525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48" name="Button 194">
              <controlPr defaultSize="0" print="0" autoFill="0" autoPict="0" macro="[0]!DecrementarArma10">
                <anchor moveWithCells="1" sizeWithCells="1">
                  <from>
                    <xdr:col>11</xdr:col>
                    <xdr:colOff>9525</xdr:colOff>
                    <xdr:row>13</xdr:row>
                    <xdr:rowOff>9525</xdr:rowOff>
                  </from>
                  <to>
                    <xdr:col>11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49" name="Button 195">
              <controlPr defaultSize="0" print="0" autoFill="0" autoPict="0" macro="[0]!IncrementarArma11">
                <anchor moveWithCells="1" sizeWithCells="1">
                  <from>
                    <xdr:col>11</xdr:col>
                    <xdr:colOff>590550</xdr:colOff>
                    <xdr:row>14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50" name="Button 196">
              <controlPr defaultSize="0" print="0" autoFill="0" autoPict="0" macro="[0]!DecrementarArma11">
                <anchor moveWithCells="1" sizeWithCells="1">
                  <from>
                    <xdr:col>11</xdr:col>
                    <xdr:colOff>9525</xdr:colOff>
                    <xdr:row>14</xdr:row>
                    <xdr:rowOff>9525</xdr:rowOff>
                  </from>
                  <to>
                    <xdr:col>11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51" name="Button 197">
              <controlPr defaultSize="0" print="0" autoFill="0" autoPict="0" macro="[0]!IncrementarArma12">
                <anchor moveWithCells="1" sizeWithCells="1">
                  <from>
                    <xdr:col>11</xdr:col>
                    <xdr:colOff>590550</xdr:colOff>
                    <xdr:row>15</xdr:row>
                    <xdr:rowOff>9525</xdr:rowOff>
                  </from>
                  <to>
                    <xdr:col>12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52" name="Button 198">
              <controlPr defaultSize="0" print="0" autoFill="0" autoPict="0" macro="[0]!DecrementarArma12">
                <anchor moveWithCells="1" sizeWithCells="1">
                  <from>
                    <xdr:col>11</xdr:col>
                    <xdr:colOff>9525</xdr:colOff>
                    <xdr:row>15</xdr:row>
                    <xdr:rowOff>9525</xdr:rowOff>
                  </from>
                  <to>
                    <xdr:col>11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53" name="Button 199">
              <controlPr defaultSize="0" print="0" autoFill="0" autoPict="0" macro="[0]!IncrementarArma13">
                <anchor moveWithCells="1" sizeWithCells="1">
                  <from>
                    <xdr:col>11</xdr:col>
                    <xdr:colOff>590550</xdr:colOff>
                    <xdr:row>16</xdr:row>
                    <xdr:rowOff>9525</xdr:rowOff>
                  </from>
                  <to>
                    <xdr:col>12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54" name="Button 200">
              <controlPr defaultSize="0" print="0" autoFill="0" autoPict="0" macro="[0]!DecrementarArma13">
                <anchor moveWithCells="1" sizeWithCells="1">
                  <from>
                    <xdr:col>11</xdr:col>
                    <xdr:colOff>9525</xdr:colOff>
                    <xdr:row>16</xdr:row>
                    <xdr:rowOff>9525</xdr:rowOff>
                  </from>
                  <to>
                    <xdr:col>11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55" name="Button 201">
              <controlPr defaultSize="0" print="0" autoFill="0" autoPict="0" macro="[0]!IncrementarProfesion2">
                <anchor moveWithCells="1" sizeWithCells="1">
                  <from>
                    <xdr:col>11</xdr:col>
                    <xdr:colOff>590550</xdr:colOff>
                    <xdr:row>26</xdr:row>
                    <xdr:rowOff>9525</xdr:rowOff>
                  </from>
                  <to>
                    <xdr:col>12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56" name="Button 202">
              <controlPr defaultSize="0" print="0" autoFill="0" autoPict="0" macro="[0]!DecrementarProfesion2">
                <anchor moveWithCells="1" sizeWithCells="1">
                  <from>
                    <xdr:col>11</xdr:col>
                    <xdr:colOff>9525</xdr:colOff>
                    <xdr:row>26</xdr:row>
                    <xdr:rowOff>9525</xdr:rowOff>
                  </from>
                  <to>
                    <xdr:col>11</xdr:col>
                    <xdr:colOff>180975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57" name="Button 203">
              <controlPr defaultSize="0" print="0" autoFill="0" autoPict="0" macro="[0]!IncrementarProfesion3">
                <anchor moveWithCells="1" sizeWithCells="1">
                  <from>
                    <xdr:col>11</xdr:col>
                    <xdr:colOff>590550</xdr:colOff>
                    <xdr:row>27</xdr:row>
                    <xdr:rowOff>9525</xdr:rowOff>
                  </from>
                  <to>
                    <xdr:col>12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58" name="Button 204">
              <controlPr defaultSize="0" print="0" autoFill="0" autoPict="0" macro="[0]!DecrementarProfesion3">
                <anchor moveWithCells="1" sizeWithCells="1">
                  <from>
                    <xdr:col>11</xdr:col>
                    <xdr:colOff>9525</xdr:colOff>
                    <xdr:row>27</xdr:row>
                    <xdr:rowOff>9525</xdr:rowOff>
                  </from>
                  <to>
                    <xdr:col>11</xdr:col>
                    <xdr:colOff>180975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59" name="Button 205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60" name="Button 206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61" name="Button 207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62" name="Button 208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63" name="Button 209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64" name="Button 210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65" name="Button 211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66" name="Button 212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67" name="Button 213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68" name="Button 214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IncrementarProfesion4">
                <anchor moveWithCells="1" sizeWithCells="1">
                  <from>
                    <xdr:col>11</xdr:col>
                    <xdr:colOff>590550</xdr:colOff>
                    <xdr:row>28</xdr:row>
                    <xdr:rowOff>9525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DecrementarProfesion4">
                <anchor moveWithCells="1" sizeWithCells="1">
                  <from>
                    <xdr:col>11</xdr:col>
                    <xdr:colOff>9525</xdr:colOff>
                    <xdr:row>28</xdr:row>
                    <xdr:rowOff>9525</xdr:rowOff>
                  </from>
                  <to>
                    <xdr:col>11</xdr:col>
                    <xdr:colOff>180975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IncrementarProfesion5">
                <anchor moveWithCells="1" sizeWithCells="1">
                  <from>
                    <xdr:col>11</xdr:col>
                    <xdr:colOff>590550</xdr:colOff>
                    <xdr:row>29</xdr:row>
                    <xdr:rowOff>9525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DecrementarProfesion5">
                <anchor moveWithCells="1" sizeWithCells="1">
                  <from>
                    <xdr:col>11</xdr:col>
                    <xdr:colOff>9525</xdr:colOff>
                    <xdr:row>29</xdr:row>
                    <xdr:rowOff>9525</xdr:rowOff>
                  </from>
                  <to>
                    <xdr:col>11</xdr:col>
                    <xdr:colOff>180975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IncrementarIntimidacion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DecrementarBuscar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IncrementarProfesion6">
                <anchor moveWithCells="1" sizeWithCells="1">
                  <from>
                    <xdr:col>11</xdr:col>
                    <xdr:colOff>590550</xdr:colOff>
                    <xdr:row>30</xdr:row>
                    <xdr:rowOff>9525</xdr:rowOff>
                  </from>
                  <to>
                    <xdr:col>12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DecrementarProfesion6">
                <anchor moveWithCells="1" sizeWithCells="1">
                  <from>
                    <xdr:col>11</xdr:col>
                    <xdr:colOff>9525</xdr:colOff>
                    <xdr:row>30</xdr:row>
                    <xdr:rowOff>9525</xdr:rowOff>
                  </from>
                  <to>
                    <xdr:col>11</xdr:col>
                    <xdr:colOff>180975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1" name="Button 258">
              <controlPr defaultSize="0" print="0" autoFill="0" autoPict="0" macro="[0]!DecrementarD3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3</xdr:col>
                    <xdr:colOff>180975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2" name="Button 260">
              <controlPr defaultSize="0" print="0" autoFill="0" autoPict="0" macro="[0]!IncrementarD3">
                <anchor moveWithCells="1" sizeWithCells="1">
                  <from>
                    <xdr:col>3</xdr:col>
                    <xdr:colOff>438150</xdr:colOff>
                    <xdr:row>2</xdr:row>
                    <xdr:rowOff>0</xdr:rowOff>
                  </from>
                  <to>
                    <xdr:col>4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3" name="Button 262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4" name="Button 263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85" name="Button 277">
              <controlPr defaultSize="0" print="0" autoFill="0" autoPict="0" macro="[0]!DecrementarDestreza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3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86" name="Button 278">
              <controlPr defaultSize="0" print="0" autoFill="0" autoPict="0" macro="[0]!IncrementarDestreza">
                <anchor moveWithCells="1" sizeWithCells="1">
                  <from>
                    <xdr:col>3</xdr:col>
                    <xdr:colOff>438150</xdr:colOff>
                    <xdr:row>5</xdr:row>
                    <xdr:rowOff>0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87" name="Button 279">
              <controlPr defaultSize="0" print="0" autoFill="0" autoPict="0" macro="[0]!DecrementarInteligenci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3</xdr:col>
                    <xdr:colOff>180975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88" name="Button 280">
              <controlPr defaultSize="0" print="0" autoFill="0" autoPict="0" macro="[0]!IncrementarInteligencia">
                <anchor moveWithCells="1" sizeWithCells="1">
                  <from>
                    <xdr:col>3</xdr:col>
                    <xdr:colOff>438150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89" name="Button 281">
              <controlPr defaultSize="0" print="0" autoFill="0" autoPict="0" macro="[0]!DecrementarVoluntad">
                <anchor moveWithCells="1" sizeWithCells="1">
                  <from>
                    <xdr:col>3</xdr:col>
                    <xdr:colOff>9525</xdr:colOff>
                    <xdr:row>7</xdr:row>
                    <xdr:rowOff>0</xdr:rowOff>
                  </from>
                  <to>
                    <xdr:col>3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90" name="Button 282">
              <controlPr defaultSize="0" print="0" autoFill="0" autoPict="0" macro="[0]!IncrementarVoluntad">
                <anchor moveWithCells="1" sizeWithCells="1">
                  <from>
                    <xdr:col>3</xdr:col>
                    <xdr:colOff>438150</xdr:colOff>
                    <xdr:row>7</xdr:row>
                    <xdr:rowOff>0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91" name="Button 283">
              <controlPr defaultSize="0" print="0" autoFill="0" autoPict="0" macro="[0]!DecrementarPercepcion">
                <anchor moveWithCells="1" sizeWithCells="1">
                  <from>
                    <xdr:col>3</xdr:col>
                    <xdr:colOff>9525</xdr:colOff>
                    <xdr:row>8</xdr:row>
                    <xdr:rowOff>0</xdr:rowOff>
                  </from>
                  <to>
                    <xdr:col>3</xdr:col>
                    <xdr:colOff>180975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92" name="Button 284">
              <controlPr defaultSize="0" print="0" autoFill="0" autoPict="0" macro="[0]!IncrementarPercepcion">
                <anchor moveWithCells="1" sizeWithCells="1">
                  <from>
                    <xdr:col>3</xdr:col>
                    <xdr:colOff>438150</xdr:colOff>
                    <xdr:row>8</xdr:row>
                    <xdr:rowOff>0</xdr:rowOff>
                  </from>
                  <to>
                    <xdr:col>4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93" name="Button 285">
              <controlPr defaultSize="0" print="0" autoFill="0" autoPict="0" macro="[0]!DecrementarCarisma">
                <anchor moveWithCells="1" siz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3</xdr:col>
                    <xdr:colOff>180975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94" name="Button 286">
              <controlPr defaultSize="0" print="0" autoFill="0" autoPict="0" macro="[0]!IncrementarCarisma">
                <anchor moveWithCells="1" sizeWithCells="1">
                  <from>
                    <xdr:col>3</xdr:col>
                    <xdr:colOff>438150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95" name="Button 287">
              <controlPr defaultSize="0" print="0" autoFill="0" autoPict="0" macro="[0]!DecrementarAguante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3</xdr:col>
                    <xdr:colOff>180975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96" name="Button 288">
              <controlPr defaultSize="0" print="0" autoFill="0" autoPict="0" macro="[0]!IncrementarAguante">
                <anchor moveWithCells="1" sizeWithCells="1">
                  <from>
                    <xdr:col>3</xdr:col>
                    <xdr:colOff>438150</xdr:colOff>
                    <xdr:row>10</xdr:row>
                    <xdr:rowOff>0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97" name="Button 289">
              <controlPr defaultSize="0" print="0" autoFill="0" autoPict="0" macro="[0]!DecrementarEnergia">
                <anchor moveWithCells="1" sizeWithCells="1">
                  <from>
                    <xdr:col>3</xdr:col>
                    <xdr:colOff>9525</xdr:colOff>
                    <xdr:row>11</xdr:row>
                    <xdr:rowOff>0</xdr:rowOff>
                  </from>
                  <to>
                    <xdr:col>3</xdr:col>
                    <xdr:colOff>180975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98" name="Button 290">
              <controlPr defaultSize="0" print="0" autoFill="0" autoPict="0" macro="[0]!IncrementarEnergia">
                <anchor moveWithCells="1" sizeWithCells="1">
                  <from>
                    <xdr:col>3</xdr:col>
                    <xdr:colOff>438150</xdr:colOff>
                    <xdr:row>11</xdr:row>
                    <xdr:rowOff>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99" name="Button 291">
              <controlPr defaultSize="0" print="0" autoFill="0" autoPict="0" macro="[0]!DecrementarSigilo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3</xdr:col>
                    <xdr:colOff>180975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00" name="Button 292">
              <controlPr defaultSize="0" print="0" autoFill="0" autoPict="0" macro="[0]!IncrementarSigilo">
                <anchor moveWithCells="1" sizeWithCells="1">
                  <from>
                    <xdr:col>3</xdr:col>
                    <xdr:colOff>438150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01" name="Button 293">
              <controlPr defaultSize="0" print="0" autoFill="0" autoPict="0" macro="[0]!DecrementarJuegoDeManos">
                <anchor moveWithCells="1" sizeWithCells="1">
                  <from>
                    <xdr:col>3</xdr:col>
                    <xdr:colOff>9525</xdr:colOff>
                    <xdr:row>15</xdr:row>
                    <xdr:rowOff>9525</xdr:rowOff>
                  </from>
                  <to>
                    <xdr:col>3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02" name="Button 294">
              <controlPr defaultSize="0" print="0" autoFill="0" autoPict="0" macro="[0]!IncrementarJuegoDeManos">
                <anchor moveWithCells="1" sizeWithCells="1">
                  <from>
                    <xdr:col>3</xdr:col>
                    <xdr:colOff>438150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03" name="Button 295">
              <controlPr defaultSize="0" print="0" autoFill="0" autoPict="0" macro="[0]!DecrementarSubsistencia">
                <anchor moveWithCells="1" sizeWithCells="1">
                  <from>
                    <xdr:col>3</xdr:col>
                    <xdr:colOff>9525</xdr:colOff>
                    <xdr:row>16</xdr:row>
                    <xdr:rowOff>9525</xdr:rowOff>
                  </from>
                  <to>
                    <xdr:col>3</xdr:col>
                    <xdr:colOff>180975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04" name="Button 296">
              <controlPr defaultSize="0" print="0" autoFill="0" autoPict="0" macro="[0]!IncrementarSubsistencia">
                <anchor moveWithCells="1" sizeWithCells="1">
                  <from>
                    <xdr:col>3</xdr:col>
                    <xdr:colOff>438150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05" name="Button 297">
              <controlPr defaultSize="0" print="0" autoFill="0" autoPict="0" macro="[0]!DecrementarAcrobacias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3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06" name="Button 298">
              <controlPr defaultSize="0" print="0" autoFill="0" autoPict="0" macro="[0]!IncrementarAcrobacias">
                <anchor moveWithCells="1" sizeWithCells="1">
                  <from>
                    <xdr:col>3</xdr:col>
                    <xdr:colOff>438150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07" name="Button 299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08" name="Button 300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18</xdr:row>
                    <xdr:rowOff>9525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09" name="Button 30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10" name="Button 30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11" name="Button 30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12" name="Button 30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13" name="Button 305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14" name="Button 306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15" name="Button 307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16" name="Button 308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17" name="Button 309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18" name="Button 310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19" name="Button 311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20" name="Button 312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21" name="Button 313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22" name="Button 314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23" name="Button 315">
              <controlPr defaultSize="0" print="0" autoFill="0" autoPict="0" macro="[0]!DecrementarEsquiv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24" name="Button 316">
              <controlPr defaultSize="0" print="0" autoFill="0" autoPict="0" macro="[0]!IncrementarEsquivar">
                <anchor moveWithCells="1" sizeWithCells="1">
                  <from>
                    <xdr:col>7</xdr:col>
                    <xdr:colOff>409575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25" name="Button 317">
              <controlPr defaultSize="0" print="0" autoFill="0" autoPict="0" macro="[0]!DecrementarMetamagia">
                <anchor moveWithCells="1" sizeWithCells="1">
                  <from>
                    <xdr:col>7</xdr:col>
                    <xdr:colOff>9525</xdr:colOff>
                    <xdr:row>6</xdr:row>
                    <xdr:rowOff>9525</xdr:rowOff>
                  </from>
                  <to>
                    <xdr:col>7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26" name="Button 318">
              <controlPr defaultSize="0" print="0" autoFill="0" autoPict="0" macro="[0]!IncrementarMetamagia">
                <anchor moveWithCells="1" sizeWithCells="1">
                  <from>
                    <xdr:col>7</xdr:col>
                    <xdr:colOff>409575</xdr:colOff>
                    <xdr:row>6</xdr:row>
                    <xdr:rowOff>9525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27" name="Button 319">
              <controlPr defaultSize="0" print="0" autoFill="0" autoPict="0" macro="[0]!IncrementarFe">
                <anchor moveWithCells="1" sizeWithCells="1">
                  <from>
                    <xdr:col>7</xdr:col>
                    <xdr:colOff>409575</xdr:colOff>
                    <xdr:row>9</xdr:row>
                    <xdr:rowOff>9525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28" name="Button 320">
              <controlPr defaultSize="0" print="0" autoFill="0" autoPict="0" macro="[0]!DecrementarFe">
                <anchor moveWithCells="1" siz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29" name="Button 321">
              <controlPr defaultSize="0" print="0" autoFill="0" autoPict="0" macro="[0]!IncrementarEspiritualidad">
                <anchor moveWithCells="1" sizeWithCells="1">
                  <from>
                    <xdr:col>7</xdr:col>
                    <xdr:colOff>409575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30" name="Button 322">
              <controlPr defaultSize="0" print="0" autoFill="0" autoPict="0" macro="[0]!DecrementarEspiritualidad">
                <anchor moveWithCells="1" sizeWithCells="1">
                  <from>
                    <xdr:col>7</xdr:col>
                    <xdr:colOff>9525</xdr:colOff>
                    <xdr:row>10</xdr:row>
                    <xdr:rowOff>9525</xdr:rowOff>
                  </from>
                  <to>
                    <xdr:col>7</xdr:col>
                    <xdr:colOff>180975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31" name="Button 323">
              <controlPr defaultSize="0" print="0" autoFill="0" autoPict="0" macro="[0]!IncrementarNaturaleza">
                <anchor moveWithCells="1" sizeWithCells="1">
                  <from>
                    <xdr:col>7</xdr:col>
                    <xdr:colOff>409575</xdr:colOff>
                    <xdr:row>11</xdr:row>
                    <xdr:rowOff>9525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32" name="Button 324">
              <controlPr defaultSize="0" print="0" autoFill="0" autoPict="0" macro="[0]!DecrementarNaturaleza">
                <anchor moveWithCells="1" sizeWithCells="1">
                  <from>
                    <xdr:col>7</xdr:col>
                    <xdr:colOff>9525</xdr:colOff>
                    <xdr:row>11</xdr:row>
                    <xdr:rowOff>9525</xdr:rowOff>
                  </from>
                  <to>
                    <xdr:col>7</xdr:col>
                    <xdr:colOff>180975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33" name="Button 325">
              <controlPr defaultSize="0" print="0" autoFill="0" autoPict="0" macro="[0]!IncrementarCorrupcion">
                <anchor moveWithCells="1" sizeWithCells="1">
                  <from>
                    <xdr:col>7</xdr:col>
                    <xdr:colOff>409575</xdr:colOff>
                    <xdr:row>12</xdr:row>
                    <xdr:rowOff>9525</xdr:rowOff>
                  </from>
                  <to>
                    <xdr:col>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34" name="Button 326">
              <controlPr defaultSize="0" print="0" autoFill="0" autoPict="0" macro="[0]!DecrementarCorrupcion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7</xdr:col>
                    <xdr:colOff>180975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35" name="Button 327">
              <controlPr defaultSize="0" print="0" autoFill="0" autoPict="0" macro="[0]!IncrementarPesca">
                <anchor moveWithCells="1" sizeWithCells="1">
                  <from>
                    <xdr:col>11</xdr:col>
                    <xdr:colOff>571500</xdr:colOff>
                    <xdr:row>19</xdr:row>
                    <xdr:rowOff>9525</xdr:rowOff>
                  </from>
                  <to>
                    <xdr:col>11</xdr:col>
                    <xdr:colOff>752475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36" name="Button 328">
              <controlPr defaultSize="0" print="0" autoFill="0" autoPict="0" macro="[0]!DecrementarPesca">
                <anchor moveWithCells="1" sizeWithCells="1">
                  <from>
                    <xdr:col>11</xdr:col>
                    <xdr:colOff>9525</xdr:colOff>
                    <xdr:row>19</xdr:row>
                    <xdr:rowOff>9525</xdr:rowOff>
                  </from>
                  <to>
                    <xdr:col>11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37" name="Button 329">
              <controlPr defaultSize="0" print="0" autoFill="0" autoPict="0" macro="[0]!IncrementarArqueologia">
                <anchor moveWithCells="1" sizeWithCells="1">
                  <from>
                    <xdr:col>11</xdr:col>
                    <xdr:colOff>571500</xdr:colOff>
                    <xdr:row>20</xdr:row>
                    <xdr:rowOff>9525</xdr:rowOff>
                  </from>
                  <to>
                    <xdr:col>11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38" name="Button 330">
              <controlPr defaultSize="0" print="0" autoFill="0" autoPict="0" macro="[0]!DecrementarArqueologia">
                <anchor moveWithCells="1" sizeWithCells="1">
                  <from>
                    <xdr:col>11</xdr:col>
                    <xdr:colOff>9525</xdr:colOff>
                    <xdr:row>20</xdr:row>
                    <xdr:rowOff>9525</xdr:rowOff>
                  </from>
                  <to>
                    <xdr:col>11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39" name="Button 331">
              <controlPr defaultSize="0" print="0" autoFill="0" autoPict="0" macro="[0]!IncrementarMedicina">
                <anchor moveWithCells="1" sizeWithCells="1">
                  <from>
                    <xdr:col>11</xdr:col>
                    <xdr:colOff>571500</xdr:colOff>
                    <xdr:row>21</xdr:row>
                    <xdr:rowOff>9525</xdr:rowOff>
                  </from>
                  <to>
                    <xdr:col>11</xdr:col>
                    <xdr:colOff>752475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40" name="Button 332">
              <controlPr defaultSize="0" print="0" autoFill="0" autoPict="0" macro="[0]!DecrementarMedicina">
                <anchor moveWithCells="1" sizeWithCells="1">
                  <from>
                    <xdr:col>11</xdr:col>
                    <xdr:colOff>9525</xdr:colOff>
                    <xdr:row>21</xdr:row>
                    <xdr:rowOff>9525</xdr:rowOff>
                  </from>
                  <to>
                    <xdr:col>11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41" name="Button 333">
              <controlPr defaultSize="0" print="0" autoFill="0" autoPict="0" macro="[0]!IncrementarCocina">
                <anchor moveWithCells="1" sizeWithCells="1">
                  <from>
                    <xdr:col>11</xdr:col>
                    <xdr:colOff>571500</xdr:colOff>
                    <xdr:row>22</xdr:row>
                    <xdr:rowOff>9525</xdr:rowOff>
                  </from>
                  <to>
                    <xdr:col>11</xdr:col>
                    <xdr:colOff>752475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42" name="Button 334">
              <controlPr defaultSize="0" print="0" autoFill="0" autoPict="0" macro="[0]!DecrementarCocina">
                <anchor moveWithCells="1" sizeWithCells="1">
                  <from>
                    <xdr:col>11</xdr:col>
                    <xdr:colOff>9525</xdr:colOff>
                    <xdr:row>22</xdr:row>
                    <xdr:rowOff>9525</xdr:rowOff>
                  </from>
                  <to>
                    <xdr:col>11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43" name="Button 335">
              <controlPr defaultSize="0" print="0" autoFill="0" autoPict="0" macro="[0]!IncrementarConocimientoMagia">
                <anchor moveWithCells="1" sizeWithCells="1">
                  <from>
                    <xdr:col>11</xdr:col>
                    <xdr:colOff>571500</xdr:colOff>
                    <xdr:row>23</xdr:row>
                    <xdr:rowOff>9525</xdr:rowOff>
                  </from>
                  <to>
                    <xdr:col>11</xdr:col>
                    <xdr:colOff>752475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44" name="Button 336">
              <controlPr defaultSize="0" print="0" autoFill="0" autoPict="0" macro="[0]!DecrementarConocimientoMagia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45" name="Button 36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46" name="Button 36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47" name="Button 36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48" name="Button 36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49" name="Button 37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50" name="Button 37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51" name="Button 37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252" name="Button 37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253" name="Button 37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254" name="Button 37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255" name="Button 376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256" name="Button 377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257" name="Button 37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58" name="Button 37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59" name="Button 380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60" name="Button 381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61" name="Button 38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62" name="Button 38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63" name="Button 384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64" name="Button 385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65" name="Button 38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66" name="Button 38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67" name="Button 388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68" name="Button 389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69" name="Button 39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70" name="Button 39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71" name="Button 392">
              <controlPr defaultSize="0" print="0" autoFill="0" autoPict="0" macro="[0]!DecrementarAtletismo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72" name="Button 393">
              <controlPr defaultSize="0" print="0" autoFill="0" autoPict="0" macro="[0]!IncrementarAtletismo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73" name="Button 42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74" name="Button 42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75" name="Button 424">
              <controlPr defaultSize="0" print="0" autoFill="0" autoPict="0" macro="[0]!DecrementarAlerta">
                <anchor moveWithCells="1" sizeWithCells="1">
                  <from>
                    <xdr:col>3</xdr:col>
                    <xdr:colOff>9525</xdr:colOff>
                    <xdr:row>19</xdr:row>
                    <xdr:rowOff>9525</xdr:rowOff>
                  </from>
                  <to>
                    <xdr:col>3</xdr:col>
                    <xdr:colOff>180975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76" name="Button 425">
              <controlPr defaultSize="0" print="0" autoFill="0" autoPict="0" macro="[0]!IncrementarAlerta">
                <anchor moveWithCells="1" sizeWithCells="1">
                  <from>
                    <xdr:col>3</xdr:col>
                    <xdr:colOff>438150</xdr:colOff>
                    <xdr:row>19</xdr:row>
                    <xdr:rowOff>9525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77" name="Button 42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78" name="Button 42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79" name="Button 428">
              <controlPr defaultSize="0" print="0" autoFill="0" autoPict="0" macro="[0]!DecrementarAprendizaje">
                <anchor moveWithCells="1" sizeWithCells="1">
                  <from>
                    <xdr:col>3</xdr:col>
                    <xdr:colOff>9525</xdr:colOff>
                    <xdr:row>20</xdr:row>
                    <xdr:rowOff>9525</xdr:rowOff>
                  </from>
                  <to>
                    <xdr:col>3</xdr:col>
                    <xdr:colOff>180975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80" name="Button 429">
              <controlPr defaultSize="0" print="0" autoFill="0" autoPict="0" macro="[0]!IncrementarAprendizaje">
                <anchor moveWithCells="1" sizeWithCells="1">
                  <from>
                    <xdr:col>3</xdr:col>
                    <xdr:colOff>438150</xdr:colOff>
                    <xdr:row>20</xdr:row>
                    <xdr:rowOff>9525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81" name="Button 430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82" name="Button 431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83" name="Button 432">
              <controlPr defaultSize="0" print="0" autoFill="0" autoPict="0" macro="[0]!DecrementarInterpretacion">
                <anchor moveWithCells="1" siz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180975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84" name="Button 433">
              <controlPr defaultSize="0" print="0" autoFill="0" autoPict="0" macro="[0]!IncrementarInterpretacion">
                <anchor moveWithCells="1" sizeWithCells="1">
                  <from>
                    <xdr:col>3</xdr:col>
                    <xdr:colOff>438150</xdr:colOff>
                    <xdr:row>21</xdr:row>
                    <xdr:rowOff>9525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85" name="Button 434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86" name="Button 435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87" name="Button 436">
              <controlPr defaultSize="0" print="0" autoFill="0" autoPict="0" macro="[0]!DecrementarSubterfugio">
                <anchor moveWithCells="1" siz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3</xdr:col>
                    <xdr:colOff>180975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88" name="Button 437">
              <controlPr defaultSize="0" print="0" autoFill="0" autoPict="0" macro="[0]!IncrementarSubterfugio">
                <anchor moveWithCells="1" sizeWithCells="1">
                  <from>
                    <xdr:col>3</xdr:col>
                    <xdr:colOff>438150</xdr:colOff>
                    <xdr:row>22</xdr:row>
                    <xdr:rowOff>9525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89" name="Button 438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90" name="Button 439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91" name="Button 440">
              <controlPr defaultSize="0" print="0" autoFill="0" autoPict="0" macro="[0]!DecrementarTratoConAnimales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3</xdr:col>
                    <xdr:colOff>180975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92" name="Button 441">
              <controlPr defaultSize="0" print="0" autoFill="0" autoPict="0" macro="[0]!IncrementarTratoConAnimales">
                <anchor moveWithCells="1" sizeWithCells="1">
                  <from>
                    <xdr:col>3</xdr:col>
                    <xdr:colOff>438150</xdr:colOff>
                    <xdr:row>23</xdr:row>
                    <xdr:rowOff>9525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93" name="Button 442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94" name="Button 443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5" name="Button 444">
              <controlPr defaultSize="0" print="0" autoFill="0" autoPict="0" macro="[0]!DecrementarIntimidacion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3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296" name="Button 445">
              <controlPr defaultSize="0" print="0" autoFill="0" autoPict="0" macro="[0]!IncrementarIntimidacion">
                <anchor moveWithCells="1" sizeWithCells="1">
                  <from>
                    <xdr:col>3</xdr:col>
                    <xdr:colOff>438150</xdr:colOff>
                    <xdr:row>24</xdr:row>
                    <xdr:rowOff>9525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297" name="Button 446">
              <controlPr defaultSize="0" print="0" autoFill="0" autoPict="0" macro="[0]!DecrementarBuscar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98" name="Button 447">
              <controlPr defaultSize="0" print="0" autoFill="0" autoPict="0" macro="[0]!IncrementarBuscar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99" name="Button 448">
              <controlPr defaultSize="0" print="0" autoFill="0" autoPict="0" macro="[0]!DecrementarDiplomacia">
                <anchor moveWithCells="1" sizeWithCells="1">
                  <from>
                    <xdr:col>3</xdr:col>
                    <xdr:colOff>9525</xdr:colOff>
                    <xdr:row>25</xdr:row>
                    <xdr:rowOff>9525</xdr:rowOff>
                  </from>
                  <to>
                    <xdr:col>3</xdr:col>
                    <xdr:colOff>180975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00" name="Button 449">
              <controlPr defaultSize="0" print="0" autoFill="0" autoPict="0" macro="[0]!IncrementarDiplomacia">
                <anchor moveWithCells="1" sizeWithCells="1">
                  <from>
                    <xdr:col>3</xdr:col>
                    <xdr:colOff>438150</xdr:colOff>
                    <xdr:row>25</xdr:row>
                    <xdr:rowOff>9525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01" name="Button 451">
              <controlPr defaultSize="0" print="0" autoFill="0" autoPict="0" macro="[0]!SinMagia">
                <anchor moveWithCells="1" sizeWithCells="1">
                  <from>
                    <xdr:col>14</xdr:col>
                    <xdr:colOff>19050</xdr:colOff>
                    <xdr:row>2</xdr:row>
                    <xdr:rowOff>171450</xdr:rowOff>
                  </from>
                  <to>
                    <xdr:col>14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02" name="Button 452">
              <controlPr defaultSize="0" print="0" autoFill="0" autoPict="0" macro="[0]!ConMagia">
                <anchor moveWithCells="1" sizeWithCells="1">
                  <from>
                    <xdr:col>15</xdr:col>
                    <xdr:colOff>0</xdr:colOff>
                    <xdr:row>2</xdr:row>
                    <xdr:rowOff>180975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AE06D04-0B88-4D27-8387-78FC7A2C96DC}">
          <x14:formula1>
            <xm:f>'Ficha inicial'!$AF$1:$AW$1</xm:f>
          </x14:formula1>
          <xm:sqref>K5:K16</xm:sqref>
        </x14:dataValidation>
        <x14:dataValidation type="list" allowBlank="1" showInputMessage="1" showErrorMessage="1" xr:uid="{DB7C56D0-9987-45E1-87C0-090CFFB984FB}">
          <x14:formula1>
            <xm:f>'Ficha inicial'!$BU$1:$CL$1</xm:f>
          </x14:formula1>
          <xm:sqref>G24:G31</xm:sqref>
        </x14:dataValidation>
        <x14:dataValidation type="list" allowBlank="1" showInputMessage="1" showErrorMessage="1" xr:uid="{F8E7CB6E-5996-4E7C-B699-0CCA38A2F7C9}">
          <x14:formula1>
            <xm:f>'Ficha inicial'!$CM$1:$DE$1</xm:f>
          </x14:formula1>
          <xm:sqref>K26:K31</xm:sqref>
        </x14:dataValidation>
        <x14:dataValidation type="list" allowBlank="1" showInputMessage="1" showErrorMessage="1" xr:uid="{04EDDABF-AEAE-4AB7-BFE0-CF368AB1F5B4}">
          <x14:formula1>
            <xm:f>Clases!$A$2:$A$14</xm:f>
          </x14:formula1>
          <xm:sqref>D2</xm:sqref>
        </x14:dataValidation>
        <x14:dataValidation type="list" allowBlank="1" showInputMessage="1" showErrorMessage="1" xr:uid="{1E61840A-E7F0-440B-AC1E-DB6885AC92C1}">
          <x14:formula1>
            <xm:f>'Ficha inicial'!$AX$1:$BT$1</xm:f>
          </x14:formula1>
          <xm:sqref>G15:G22</xm:sqref>
        </x14:dataValidation>
        <x14:dataValidation type="list" allowBlank="1" showInputMessage="1" showErrorMessage="1" xr:uid="{D5D4F9D6-929A-40F2-AFA9-17F58F114028}">
          <x14:formula1>
            <xm:f>Razas!$A$2:$A$39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43599-A6B5-4C75-B582-0875CA652957}">
  <sheetPr codeName="Hoja2"/>
  <dimension ref="A1:DW40"/>
  <sheetViews>
    <sheetView topLeftCell="A2" zoomScaleNormal="100" workbookViewId="0">
      <selection activeCell="DX28" sqref="DX28"/>
    </sheetView>
  </sheetViews>
  <sheetFormatPr baseColWidth="10" defaultRowHeight="15" x14ac:dyDescent="0.25"/>
  <cols>
    <col min="1" max="1" width="17.7109375" customWidth="1"/>
    <col min="2" max="2" width="6.5703125" bestFit="1" customWidth="1"/>
    <col min="3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3" width="3.7109375" style="47" bestFit="1" customWidth="1"/>
    <col min="124" max="126" width="3.7109375" bestFit="1" customWidth="1"/>
    <col min="127" max="127" width="4.42578125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205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193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236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210</v>
      </c>
      <c r="DW1" s="1" t="s">
        <v>267</v>
      </c>
    </row>
    <row r="2" spans="1:127" x14ac:dyDescent="0.25">
      <c r="A2" t="s">
        <v>127</v>
      </c>
      <c r="B2">
        <f>SUM(B3:B4)</f>
        <v>33</v>
      </c>
      <c r="C2" s="58">
        <f t="shared" ref="C2:J2" si="0">SUM(C3:C5)</f>
        <v>1</v>
      </c>
      <c r="D2" s="58">
        <f t="shared" si="0"/>
        <v>2</v>
      </c>
      <c r="E2" s="58">
        <f t="shared" si="0"/>
        <v>3</v>
      </c>
      <c r="F2" s="58">
        <f t="shared" si="0"/>
        <v>1</v>
      </c>
      <c r="G2" s="58">
        <f t="shared" si="0"/>
        <v>2</v>
      </c>
      <c r="H2" s="58">
        <f t="shared" si="0"/>
        <v>1</v>
      </c>
      <c r="I2" s="58">
        <f t="shared" si="0"/>
        <v>2</v>
      </c>
      <c r="J2" s="58">
        <f t="shared" si="0"/>
        <v>3</v>
      </c>
      <c r="K2" s="59">
        <f t="shared" ref="K2:AP2" si="1">SUM(K3:K4)</f>
        <v>0</v>
      </c>
      <c r="L2" s="59">
        <f t="shared" si="1"/>
        <v>1</v>
      </c>
      <c r="M2" s="59">
        <f t="shared" si="1"/>
        <v>0</v>
      </c>
      <c r="N2" s="59">
        <f t="shared" si="1"/>
        <v>0</v>
      </c>
      <c r="O2" s="59">
        <f t="shared" si="1"/>
        <v>0</v>
      </c>
      <c r="P2" s="59">
        <f t="shared" si="1"/>
        <v>0</v>
      </c>
      <c r="Q2" s="60">
        <f t="shared" si="1"/>
        <v>0</v>
      </c>
      <c r="R2" s="60">
        <f t="shared" si="1"/>
        <v>2</v>
      </c>
      <c r="S2" s="60">
        <f t="shared" si="1"/>
        <v>0</v>
      </c>
      <c r="T2" s="61">
        <f t="shared" si="1"/>
        <v>1</v>
      </c>
      <c r="U2" s="61">
        <f t="shared" si="1"/>
        <v>0</v>
      </c>
      <c r="V2" s="61">
        <f t="shared" si="1"/>
        <v>1</v>
      </c>
      <c r="W2" s="61">
        <f t="shared" si="1"/>
        <v>0</v>
      </c>
      <c r="X2" s="62">
        <f t="shared" si="1"/>
        <v>0</v>
      </c>
      <c r="Y2" s="62">
        <f t="shared" si="1"/>
        <v>1</v>
      </c>
      <c r="Z2" s="62">
        <f t="shared" si="1"/>
        <v>1</v>
      </c>
      <c r="AA2" s="63">
        <f t="shared" si="1"/>
        <v>0</v>
      </c>
      <c r="AB2" s="63">
        <f t="shared" si="1"/>
        <v>0</v>
      </c>
      <c r="AC2" s="63">
        <f t="shared" si="1"/>
        <v>0</v>
      </c>
      <c r="AD2" s="63">
        <f t="shared" si="1"/>
        <v>0</v>
      </c>
      <c r="AE2" s="63">
        <f t="shared" si="1"/>
        <v>1</v>
      </c>
      <c r="AF2" s="64">
        <f t="shared" si="1"/>
        <v>0</v>
      </c>
      <c r="AG2" s="64">
        <f t="shared" si="1"/>
        <v>0</v>
      </c>
      <c r="AH2" s="64">
        <f t="shared" si="1"/>
        <v>0</v>
      </c>
      <c r="AI2" s="64">
        <f t="shared" si="1"/>
        <v>0</v>
      </c>
      <c r="AJ2" s="64">
        <f t="shared" si="1"/>
        <v>0</v>
      </c>
      <c r="AK2" s="64">
        <f t="shared" si="1"/>
        <v>0</v>
      </c>
      <c r="AL2" s="64">
        <f t="shared" si="1"/>
        <v>0</v>
      </c>
      <c r="AM2" s="64">
        <f t="shared" si="1"/>
        <v>1</v>
      </c>
      <c r="AN2" s="64">
        <f t="shared" si="1"/>
        <v>0</v>
      </c>
      <c r="AO2" s="64">
        <f t="shared" si="1"/>
        <v>0</v>
      </c>
      <c r="AP2" s="64">
        <f t="shared" si="1"/>
        <v>1</v>
      </c>
      <c r="AQ2" s="64">
        <f t="shared" ref="AQ2:BV2" si="2">SUM(AQ3:AQ4)</f>
        <v>1</v>
      </c>
      <c r="AR2" s="64">
        <f t="shared" si="2"/>
        <v>1</v>
      </c>
      <c r="AS2" s="64">
        <f t="shared" si="2"/>
        <v>0</v>
      </c>
      <c r="AT2" s="64">
        <f t="shared" si="2"/>
        <v>0</v>
      </c>
      <c r="AU2" s="64">
        <f t="shared" si="2"/>
        <v>0</v>
      </c>
      <c r="AV2" s="64">
        <f t="shared" si="2"/>
        <v>0</v>
      </c>
      <c r="AW2" s="64">
        <f t="shared" si="2"/>
        <v>0</v>
      </c>
      <c r="AX2" s="65">
        <f t="shared" si="2"/>
        <v>0</v>
      </c>
      <c r="AY2" s="65">
        <f t="shared" si="2"/>
        <v>0</v>
      </c>
      <c r="AZ2" s="65">
        <f t="shared" si="2"/>
        <v>0</v>
      </c>
      <c r="BA2" s="65">
        <f t="shared" si="2"/>
        <v>0</v>
      </c>
      <c r="BB2" s="65">
        <f t="shared" si="2"/>
        <v>0</v>
      </c>
      <c r="BC2" s="65">
        <f t="shared" si="2"/>
        <v>1</v>
      </c>
      <c r="BD2" s="65">
        <f t="shared" si="2"/>
        <v>1</v>
      </c>
      <c r="BE2" s="65">
        <f t="shared" si="2"/>
        <v>0</v>
      </c>
      <c r="BF2" s="65">
        <f t="shared" si="2"/>
        <v>1</v>
      </c>
      <c r="BG2" s="65">
        <f t="shared" si="2"/>
        <v>0</v>
      </c>
      <c r="BH2" s="65">
        <f t="shared" si="2"/>
        <v>0</v>
      </c>
      <c r="BI2" s="65">
        <f t="shared" si="2"/>
        <v>0</v>
      </c>
      <c r="BJ2" s="65">
        <f t="shared" si="2"/>
        <v>0</v>
      </c>
      <c r="BK2" s="65">
        <f t="shared" si="2"/>
        <v>0</v>
      </c>
      <c r="BL2" s="65">
        <f t="shared" si="2"/>
        <v>0</v>
      </c>
      <c r="BM2" s="65">
        <f t="shared" si="2"/>
        <v>0</v>
      </c>
      <c r="BN2" s="65">
        <f t="shared" si="2"/>
        <v>0</v>
      </c>
      <c r="BO2" s="65">
        <f t="shared" si="2"/>
        <v>0</v>
      </c>
      <c r="BP2" s="65">
        <f t="shared" si="2"/>
        <v>0</v>
      </c>
      <c r="BQ2" s="65">
        <f t="shared" si="2"/>
        <v>0</v>
      </c>
      <c r="BR2" s="65">
        <f t="shared" si="2"/>
        <v>0</v>
      </c>
      <c r="BS2" s="65">
        <f t="shared" si="2"/>
        <v>0</v>
      </c>
      <c r="BT2" s="65">
        <f t="shared" si="2"/>
        <v>0</v>
      </c>
      <c r="BU2" s="66">
        <f t="shared" si="2"/>
        <v>0</v>
      </c>
      <c r="BV2" s="66">
        <f t="shared" si="2"/>
        <v>0</v>
      </c>
      <c r="BW2" s="66">
        <f t="shared" ref="BW2:DB2" si="3">SUM(BW3:BW4)</f>
        <v>0</v>
      </c>
      <c r="BX2" s="66">
        <f t="shared" si="3"/>
        <v>0</v>
      </c>
      <c r="BY2" s="66">
        <f t="shared" si="3"/>
        <v>0</v>
      </c>
      <c r="BZ2" s="66">
        <f t="shared" si="3"/>
        <v>0</v>
      </c>
      <c r="CA2" s="66">
        <f t="shared" si="3"/>
        <v>0</v>
      </c>
      <c r="CB2" s="66">
        <f t="shared" si="3"/>
        <v>0</v>
      </c>
      <c r="CC2" s="66">
        <f t="shared" si="3"/>
        <v>0</v>
      </c>
      <c r="CD2" s="66">
        <f t="shared" si="3"/>
        <v>0</v>
      </c>
      <c r="CE2" s="66">
        <f t="shared" si="3"/>
        <v>0</v>
      </c>
      <c r="CF2" s="66">
        <f t="shared" si="3"/>
        <v>0</v>
      </c>
      <c r="CG2" s="66">
        <f t="shared" si="3"/>
        <v>0</v>
      </c>
      <c r="CH2" s="66">
        <f t="shared" si="3"/>
        <v>0</v>
      </c>
      <c r="CI2" s="66">
        <f t="shared" si="3"/>
        <v>0</v>
      </c>
      <c r="CJ2" s="66">
        <f t="shared" si="3"/>
        <v>0</v>
      </c>
      <c r="CK2" s="66">
        <f t="shared" si="3"/>
        <v>0</v>
      </c>
      <c r="CL2" s="66">
        <f t="shared" si="3"/>
        <v>0</v>
      </c>
      <c r="CM2" s="67">
        <f t="shared" si="3"/>
        <v>1</v>
      </c>
      <c r="CN2" s="67">
        <f t="shared" si="3"/>
        <v>0</v>
      </c>
      <c r="CO2" s="67">
        <f t="shared" si="3"/>
        <v>0</v>
      </c>
      <c r="CP2" s="67">
        <f t="shared" si="3"/>
        <v>0</v>
      </c>
      <c r="CQ2" s="67">
        <f t="shared" si="3"/>
        <v>1</v>
      </c>
      <c r="CR2" s="67">
        <f t="shared" si="3"/>
        <v>0</v>
      </c>
      <c r="CS2" s="67">
        <f t="shared" si="3"/>
        <v>0</v>
      </c>
      <c r="CT2" s="67">
        <f t="shared" si="3"/>
        <v>0</v>
      </c>
      <c r="CU2" s="67">
        <f t="shared" si="3"/>
        <v>1</v>
      </c>
      <c r="CV2" s="67">
        <f t="shared" si="3"/>
        <v>0</v>
      </c>
      <c r="CW2" s="67">
        <f t="shared" si="3"/>
        <v>0</v>
      </c>
      <c r="CX2" s="67">
        <f t="shared" si="3"/>
        <v>0</v>
      </c>
      <c r="CY2" s="67">
        <f t="shared" si="3"/>
        <v>0</v>
      </c>
      <c r="CZ2" s="67">
        <f t="shared" si="3"/>
        <v>0</v>
      </c>
      <c r="DA2" s="67">
        <f t="shared" si="3"/>
        <v>0</v>
      </c>
      <c r="DB2" s="67">
        <f t="shared" si="3"/>
        <v>0</v>
      </c>
      <c r="DC2" s="67">
        <f t="shared" ref="DC2:DU2" si="4">SUM(DC3:DC4)</f>
        <v>0</v>
      </c>
      <c r="DD2" s="67">
        <f t="shared" si="4"/>
        <v>0</v>
      </c>
      <c r="DE2" s="67">
        <f t="shared" si="4"/>
        <v>0</v>
      </c>
      <c r="DF2" s="68">
        <f t="shared" si="4"/>
        <v>0</v>
      </c>
      <c r="DG2" s="68">
        <f t="shared" si="4"/>
        <v>0</v>
      </c>
      <c r="DH2" s="68">
        <f t="shared" si="4"/>
        <v>1</v>
      </c>
      <c r="DI2" s="68">
        <f t="shared" si="4"/>
        <v>0</v>
      </c>
      <c r="DJ2" s="68">
        <f t="shared" si="4"/>
        <v>0</v>
      </c>
      <c r="DK2" s="68">
        <f t="shared" si="4"/>
        <v>2</v>
      </c>
      <c r="DL2" s="69">
        <f t="shared" si="4"/>
        <v>0</v>
      </c>
      <c r="DM2" s="69">
        <f t="shared" si="4"/>
        <v>0</v>
      </c>
      <c r="DN2" s="69">
        <f t="shared" si="4"/>
        <v>1</v>
      </c>
      <c r="DO2" s="69">
        <f t="shared" si="4"/>
        <v>1</v>
      </c>
      <c r="DP2" s="69">
        <f t="shared" si="4"/>
        <v>1</v>
      </c>
      <c r="DQ2" s="69">
        <f t="shared" ref="DQ2" si="5">SUM(DQ3:DQ4)</f>
        <v>0</v>
      </c>
      <c r="DR2" s="69">
        <f>SUM(DR3:DR4)</f>
        <v>0</v>
      </c>
      <c r="DS2" s="69">
        <f>SUM(DS3:DS4)</f>
        <v>0</v>
      </c>
      <c r="DT2">
        <f t="shared" si="4"/>
        <v>0</v>
      </c>
      <c r="DU2">
        <f t="shared" si="4"/>
        <v>1</v>
      </c>
      <c r="DV2">
        <f>'Raciales Especiales'!B2</f>
        <v>3</v>
      </c>
    </row>
    <row r="3" spans="1:127" x14ac:dyDescent="0.25">
      <c r="A3" t="str">
        <f>'Ficha completa'!D1</f>
        <v>Gnomo de Gnomeregan</v>
      </c>
      <c r="B3">
        <f>VLOOKUP($A$3,Razas!$A$2:$DV$39,COLUMN(B3)-COLUMN($B$3)+2,FALSE)</f>
        <v>13</v>
      </c>
      <c r="C3" s="58">
        <f>VLOOKUP($A$3,Razas!$A$2:$DU$39,COLUMN(C3)-COLUMN($B$3)+2,FALSE)</f>
        <v>0</v>
      </c>
      <c r="D3" s="58">
        <f>VLOOKUP($A$3,Razas!$A$2:$DU$39,COLUMN(D3)-COLUMN($B$3)+2,FALSE)</f>
        <v>1</v>
      </c>
      <c r="E3" s="58">
        <f>VLOOKUP($A$3,Razas!$A$2:$DU$39,COLUMN(E3)-COLUMN($B$3)+2,FALSE)</f>
        <v>1</v>
      </c>
      <c r="F3" s="58">
        <f>VLOOKUP($A$3,Razas!$A$2:$DU$39,COLUMN(F3)-COLUMN($B$3)+2,FALSE)</f>
        <v>0</v>
      </c>
      <c r="G3" s="58">
        <f>VLOOKUP($A$3,Razas!$A$2:$DU$39,COLUMN(G3)-COLUMN($B$3)+2,FALSE)</f>
        <v>1</v>
      </c>
      <c r="H3" s="58">
        <f>VLOOKUP($A$3,Razas!$A$2:$DU$39,COLUMN(H3)-COLUMN($B$3)+2,FALSE)</f>
        <v>0</v>
      </c>
      <c r="I3" s="58">
        <f>VLOOKUP($A$3,Razas!$A$2:$DU$39,COLUMN(I3)-COLUMN($B$3)+2,FALSE)</f>
        <v>0</v>
      </c>
      <c r="J3" s="58">
        <f>VLOOKUP($A$3,Razas!$A$2:$DU$39,COLUMN(J3)-COLUMN($B$3)+2,FALSE)</f>
        <v>1</v>
      </c>
      <c r="K3" s="59">
        <f>VLOOKUP($A$3,Razas!$A$2:$DU$39,COLUMN(K3)-COLUMN($B$3)+2,FALSE)</f>
        <v>0</v>
      </c>
      <c r="L3" s="59">
        <f>VLOOKUP($A$3,Razas!$A$2:$DU$39,COLUMN(L3)-COLUMN($B$3)+2,FALSE)</f>
        <v>1</v>
      </c>
      <c r="M3" s="59">
        <f>VLOOKUP($A$3,Razas!$A$2:$DU$39,COLUMN(M3)-COLUMN($B$3)+2,FALSE)</f>
        <v>0</v>
      </c>
      <c r="N3" s="59">
        <f>VLOOKUP($A$3,Razas!$A$2:$DU$39,COLUMN(N3)-COLUMN($B$3)+2,FALSE)</f>
        <v>0</v>
      </c>
      <c r="O3" s="59">
        <f>VLOOKUP($A$3,Razas!$A$2:$DU$39,COLUMN(O3)-COLUMN($B$3)+2,FALSE)</f>
        <v>0</v>
      </c>
      <c r="P3" s="59">
        <f>VLOOKUP($A$3,Razas!$A$2:$DU$39,COLUMN(P3)-COLUMN($B$3)+2,FALSE)</f>
        <v>0</v>
      </c>
      <c r="Q3" s="60">
        <f>VLOOKUP($A$3,Razas!$A$2:$DU$39,COLUMN(Q3)-COLUMN($B$3)+2,FALSE)</f>
        <v>0</v>
      </c>
      <c r="R3" s="60">
        <f>VLOOKUP($A$3,Razas!$A$2:$DU$39,COLUMN(R3)-COLUMN($B$3)+2,FALSE)</f>
        <v>1</v>
      </c>
      <c r="S3" s="60">
        <f>VLOOKUP($A$3,Razas!$A$2:$DU$39,COLUMN(S3)-COLUMN($B$3)+2,FALSE)</f>
        <v>0</v>
      </c>
      <c r="T3" s="61">
        <f>VLOOKUP($A$3,Razas!$A$2:$DU$39,COLUMN(T3)-COLUMN($B$3)+2,FALSE)</f>
        <v>0</v>
      </c>
      <c r="U3" s="61">
        <f>VLOOKUP($A$3,Razas!$A$2:$DU$39,COLUMN(U3)-COLUMN($B$3)+2,FALSE)</f>
        <v>0</v>
      </c>
      <c r="V3" s="61">
        <f>VLOOKUP($A$3,Razas!$A$2:$DU$39,COLUMN(V3)-COLUMN($B$3)+2,FALSE)</f>
        <v>0</v>
      </c>
      <c r="W3" s="61">
        <f>VLOOKUP($A$3,Razas!$A$2:$DU$39,COLUMN(W3)-COLUMN($B$3)+2,FALSE)</f>
        <v>0</v>
      </c>
      <c r="X3" s="62">
        <f>VLOOKUP($A$3,Razas!$A$2:$DU$39,COLUMN(X3)-COLUMN($B$3)+2,FALSE)</f>
        <v>0</v>
      </c>
      <c r="Y3" s="62">
        <f>VLOOKUP($A$3,Razas!$A$2:$DU$39,COLUMN(Y3)-COLUMN($B$3)+2,FALSE)</f>
        <v>1</v>
      </c>
      <c r="Z3" s="62">
        <f>VLOOKUP($A$3,Razas!$A$2:$DU$39,COLUMN(Z3)-COLUMN($B$3)+2,FALSE)</f>
        <v>0</v>
      </c>
      <c r="AA3" s="63">
        <f>VLOOKUP($A$3,Razas!$A$2:$DU$39,COLUMN(AA3)-COLUMN($B$3)+2,FALSE)</f>
        <v>0</v>
      </c>
      <c r="AB3" s="63">
        <f>VLOOKUP($A$3,Razas!$A$2:$DU$39,COLUMN(AB3)-COLUMN($B$3)+2,FALSE)</f>
        <v>0</v>
      </c>
      <c r="AC3" s="63">
        <f>VLOOKUP($A$3,Razas!$A$2:$DU$39,COLUMN(AC3)-COLUMN($B$3)+2,FALSE)</f>
        <v>0</v>
      </c>
      <c r="AD3" s="63">
        <f>VLOOKUP($A$3,Razas!$A$2:$DU$39,COLUMN(AD3)-COLUMN($B$3)+2,FALSE)</f>
        <v>0</v>
      </c>
      <c r="AE3" s="63">
        <f>VLOOKUP($A$3,Razas!$A$2:$DU$39,COLUMN(AE3)-COLUMN($B$3)+2,FALSE)</f>
        <v>0</v>
      </c>
      <c r="AF3" s="64">
        <f>VLOOKUP($A$3,Razas!$A$2:$DU$39,COLUMN(AF3)-COLUMN($B$3)+2,FALSE)</f>
        <v>0</v>
      </c>
      <c r="AG3" s="64">
        <f>VLOOKUP($A$3,Razas!$A$2:$DU$39,COLUMN(AG3)-COLUMN($B$3)+2,FALSE)</f>
        <v>0</v>
      </c>
      <c r="AH3" s="64">
        <f>VLOOKUP($A$3,Razas!$A$2:$DU$39,COLUMN(AH3)-COLUMN($B$3)+2,FALSE)</f>
        <v>0</v>
      </c>
      <c r="AI3" s="64">
        <f>VLOOKUP($A$3,Razas!$A$2:$DU$39,COLUMN(AI3)-COLUMN($B$3)+2,FALSE)</f>
        <v>0</v>
      </c>
      <c r="AJ3" s="64">
        <f>VLOOKUP($A$3,Razas!$A$2:$DU$39,COLUMN(AJ3)-COLUMN($B$3)+2,FALSE)</f>
        <v>0</v>
      </c>
      <c r="AK3" s="64">
        <f>VLOOKUP($A$3,Razas!$A$2:$DU$39,COLUMN(AK3)-COLUMN($B$3)+2,FALSE)</f>
        <v>0</v>
      </c>
      <c r="AL3" s="64">
        <f>VLOOKUP($A$3,Razas!$A$2:$DU$39,COLUMN(AL3)-COLUMN($B$3)+2,FALSE)</f>
        <v>0</v>
      </c>
      <c r="AM3" s="64">
        <f>VLOOKUP($A$3,Razas!$A$2:$DU$39,COLUMN(AM3)-COLUMN($B$3)+2,FALSE)</f>
        <v>1</v>
      </c>
      <c r="AN3" s="64">
        <f>VLOOKUP($A$3,Razas!$A$2:$DU$39,COLUMN(AN3)-COLUMN($B$3)+2,FALSE)</f>
        <v>0</v>
      </c>
      <c r="AO3" s="64">
        <f>VLOOKUP($A$3,Razas!$A$2:$DU$39,COLUMN(AO3)-COLUMN($B$3)+2,FALSE)</f>
        <v>0</v>
      </c>
      <c r="AP3" s="64">
        <f>VLOOKUP($A$3,Razas!$A$2:$DU$39,COLUMN(AP3)-COLUMN($B$3)+2,FALSE)</f>
        <v>0</v>
      </c>
      <c r="AQ3" s="64">
        <f>VLOOKUP($A$3,Razas!$A$2:$DU$39,COLUMN(AQ3)-COLUMN($B$3)+2,FALSE)</f>
        <v>0</v>
      </c>
      <c r="AR3" s="64">
        <f>VLOOKUP($A$3,Razas!$A$2:$DU$39,COLUMN(AR3)-COLUMN($B$3)+2,FALSE)</f>
        <v>0</v>
      </c>
      <c r="AS3" s="64">
        <f>VLOOKUP($A$3,Razas!$A$2:$DU$39,COLUMN(AS3)-COLUMN($B$3)+2,FALSE)</f>
        <v>0</v>
      </c>
      <c r="AT3" s="64">
        <f>VLOOKUP($A$3,Razas!$A$2:$DU$39,COLUMN(AT3)-COLUMN($B$3)+2,FALSE)</f>
        <v>0</v>
      </c>
      <c r="AU3" s="64">
        <f>VLOOKUP($A$3,Razas!$A$2:$DU$39,COLUMN(AU3)-COLUMN($B$3)+2,FALSE)</f>
        <v>0</v>
      </c>
      <c r="AV3" s="64">
        <f>VLOOKUP($A$3,Razas!$A$2:$DU$39,COLUMN(AV3)-COLUMN($B$3)+2,FALSE)</f>
        <v>0</v>
      </c>
      <c r="AW3" s="64">
        <f>VLOOKUP($A$3,Razas!$A$2:$DU$39,COLUMN(AW3)-COLUMN($B$3)+2,FALSE)</f>
        <v>0</v>
      </c>
      <c r="AX3" s="65">
        <f>VLOOKUP($A$3,Razas!$A$2:$DU$39,COLUMN(AX3)-COLUMN($B$3)+2,FALSE)</f>
        <v>0</v>
      </c>
      <c r="AY3" s="65">
        <f>VLOOKUP($A$3,Razas!$A$2:$DU$39,COLUMN(AY3)-COLUMN($B$3)+2,FALSE)</f>
        <v>0</v>
      </c>
      <c r="AZ3" s="65">
        <f>VLOOKUP($A$3,Razas!$A$2:$DU$39,COLUMN(AZ3)-COLUMN($B$3)+2,FALSE)</f>
        <v>0</v>
      </c>
      <c r="BA3" s="65">
        <f>VLOOKUP($A$3,Razas!$A$2:$DU$39,COLUMN(BA3)-COLUMN($B$3)+2,FALSE)</f>
        <v>0</v>
      </c>
      <c r="BB3" s="65">
        <f>VLOOKUP($A$3,Razas!$A$2:$DU$39,COLUMN(BB3)-COLUMN($B$3)+2,FALSE)</f>
        <v>0</v>
      </c>
      <c r="BC3" s="65">
        <f>VLOOKUP($A$3,Razas!$A$2:$DU$39,COLUMN(BC3)-COLUMN($B$3)+2,FALSE)</f>
        <v>0</v>
      </c>
      <c r="BD3" s="65">
        <f>VLOOKUP($A$3,Razas!$A$2:$DU$39,COLUMN(BD3)-COLUMN($B$3)+2,FALSE)</f>
        <v>0</v>
      </c>
      <c r="BE3" s="65">
        <f>VLOOKUP($A$3,Razas!$A$2:$DU$39,COLUMN(BE3)-COLUMN($B$3)+2,FALSE)</f>
        <v>0</v>
      </c>
      <c r="BF3" s="65">
        <f>VLOOKUP($A$3,Razas!$A$2:$DU$39,COLUMN(BF3)-COLUMN($B$3)+2,FALSE)</f>
        <v>0</v>
      </c>
      <c r="BG3" s="65">
        <f>VLOOKUP($A$3,Razas!$A$2:$DU$39,COLUMN(BG3)-COLUMN($B$3)+2,FALSE)</f>
        <v>0</v>
      </c>
      <c r="BH3" s="65">
        <f>VLOOKUP($A$3,Razas!$A$2:$DU$39,COLUMN(BH3)-COLUMN($B$3)+2,FALSE)</f>
        <v>0</v>
      </c>
      <c r="BI3" s="65">
        <f>VLOOKUP($A$3,Razas!$A$2:$DU$39,COLUMN(BI3)-COLUMN($B$3)+2,FALSE)</f>
        <v>0</v>
      </c>
      <c r="BJ3" s="65">
        <f>VLOOKUP($A$3,Razas!$A$2:$DU$39,COLUMN(BJ3)-COLUMN($B$3)+2,FALSE)</f>
        <v>0</v>
      </c>
      <c r="BK3" s="65">
        <f>VLOOKUP($A$3,Razas!$A$2:$DU$39,COLUMN(BK3)-COLUMN($B$3)+2,FALSE)</f>
        <v>0</v>
      </c>
      <c r="BL3" s="65">
        <f>VLOOKUP($A$3,Razas!$A$2:$DU$39,COLUMN(BL3)-COLUMN($B$3)+2,FALSE)</f>
        <v>0</v>
      </c>
      <c r="BM3" s="65">
        <f>VLOOKUP($A$3,Razas!$A$2:$DU$39,COLUMN(BM3)-COLUMN($B$3)+2,FALSE)</f>
        <v>0</v>
      </c>
      <c r="BN3" s="65">
        <f>VLOOKUP($A$3,Razas!$A$2:$DU$39,COLUMN(BN3)-COLUMN($B$3)+2,FALSE)</f>
        <v>0</v>
      </c>
      <c r="BO3" s="65">
        <f>VLOOKUP($A$3,Razas!$A$2:$DU$39,COLUMN(BO3)-COLUMN($B$3)+2,FALSE)</f>
        <v>0</v>
      </c>
      <c r="BP3" s="65">
        <f>VLOOKUP($A$3,Razas!$A$2:$DU$39,COLUMN(BP3)-COLUMN($B$3)+2,FALSE)</f>
        <v>0</v>
      </c>
      <c r="BQ3" s="65">
        <f>VLOOKUP($A$3,Razas!$A$2:$DU$39,COLUMN(BQ3)-COLUMN($B$3)+2,FALSE)</f>
        <v>0</v>
      </c>
      <c r="BR3" s="65">
        <f>VLOOKUP($A$3,Razas!$A$2:$DU$39,COLUMN(BR3)-COLUMN($B$3)+2,FALSE)</f>
        <v>0</v>
      </c>
      <c r="BS3" s="65">
        <f>VLOOKUP($A$3,Razas!$A$2:$DU$39,COLUMN(BS3)-COLUMN($B$3)+2,FALSE)</f>
        <v>0</v>
      </c>
      <c r="BT3" s="65">
        <f>VLOOKUP($A$3,Razas!$A$2:$DU$39,COLUMN(BT3)-COLUMN($B$3)+2,FALSE)</f>
        <v>0</v>
      </c>
      <c r="BU3" s="66">
        <f>VLOOKUP($A$3,Razas!$A$2:$DU$39,COLUMN(BU3)-COLUMN($B$3)+2,FALSE)</f>
        <v>0</v>
      </c>
      <c r="BV3" s="66">
        <f>VLOOKUP($A$3,Razas!$A$2:$DU$39,COLUMN(BV3)-COLUMN($B$3)+2,FALSE)</f>
        <v>0</v>
      </c>
      <c r="BW3" s="66">
        <f>VLOOKUP($A$3,Razas!$A$2:$DU$39,COLUMN(BW3)-COLUMN($B$3)+2,FALSE)</f>
        <v>0</v>
      </c>
      <c r="BX3" s="66">
        <f>VLOOKUP($A$3,Razas!$A$2:$DU$39,COLUMN(BX3)-COLUMN($B$3)+2,FALSE)</f>
        <v>0</v>
      </c>
      <c r="BY3" s="66">
        <f>VLOOKUP($A$3,Razas!$A$2:$DU$39,COLUMN(BY3)-COLUMN($B$3)+2,FALSE)</f>
        <v>0</v>
      </c>
      <c r="BZ3" s="66">
        <f>VLOOKUP($A$3,Razas!$A$2:$DU$39,COLUMN(BZ3)-COLUMN($B$3)+2,FALSE)</f>
        <v>0</v>
      </c>
      <c r="CA3" s="66">
        <f>VLOOKUP($A$3,Razas!$A$2:$DU$39,COLUMN(CA3)-COLUMN($B$3)+2,FALSE)</f>
        <v>0</v>
      </c>
      <c r="CB3" s="66">
        <f>VLOOKUP($A$3,Razas!$A$2:$DU$39,COLUMN(CB3)-COLUMN($B$3)+2,FALSE)</f>
        <v>0</v>
      </c>
      <c r="CC3" s="66">
        <f>VLOOKUP($A$3,Razas!$A$2:$DU$39,COLUMN(CC3)-COLUMN($B$3)+2,FALSE)</f>
        <v>0</v>
      </c>
      <c r="CD3" s="66">
        <f>VLOOKUP($A$3,Razas!$A$2:$DU$39,COLUMN(CD3)-COLUMN($B$3)+2,FALSE)</f>
        <v>0</v>
      </c>
      <c r="CE3" s="66">
        <f>VLOOKUP($A$3,Razas!$A$2:$DU$39,COLUMN(CE3)-COLUMN($B$3)+2,FALSE)</f>
        <v>0</v>
      </c>
      <c r="CF3" s="66">
        <f>VLOOKUP($A$3,Razas!$A$2:$DU$39,COLUMN(CF3)-COLUMN($B$3)+2,FALSE)</f>
        <v>0</v>
      </c>
      <c r="CG3" s="66">
        <f>VLOOKUP($A$3,Razas!$A$2:$DU$39,COLUMN(CG3)-COLUMN($B$3)+2,FALSE)</f>
        <v>0</v>
      </c>
      <c r="CH3" s="66">
        <f>VLOOKUP($A$3,Razas!$A$2:$DU$39,COLUMN(CH3)-COLUMN($B$3)+2,FALSE)</f>
        <v>0</v>
      </c>
      <c r="CI3" s="66">
        <f>VLOOKUP($A$3,Razas!$A$2:$DU$39,COLUMN(CI3)-COLUMN($B$3)+2,FALSE)</f>
        <v>0</v>
      </c>
      <c r="CJ3" s="66">
        <f>VLOOKUP($A$3,Razas!$A$2:$DU$39,COLUMN(CJ3)-COLUMN($B$3)+2,FALSE)</f>
        <v>0</v>
      </c>
      <c r="CK3" s="66">
        <f>VLOOKUP($A$3,Razas!$A$2:$DU$39,COLUMN(CK3)-COLUMN($B$3)+2,FALSE)</f>
        <v>0</v>
      </c>
      <c r="CL3" s="66">
        <f>VLOOKUP($A$3,Razas!$A$2:$DU$39,COLUMN(CL3)-COLUMN($B$3)+2,FALSE)</f>
        <v>0</v>
      </c>
      <c r="CM3" s="67">
        <f>VLOOKUP($A$3,Razas!$A$2:$DU$39,COLUMN(CM3)-COLUMN($B$3)+2,FALSE)</f>
        <v>0</v>
      </c>
      <c r="CN3" s="67">
        <f>VLOOKUP($A$3,Razas!$A$2:$DU$39,COLUMN(CN3)-COLUMN($B$3)+2,FALSE)</f>
        <v>0</v>
      </c>
      <c r="CO3" s="67">
        <f>VLOOKUP($A$3,Razas!$A$2:$DU$39,COLUMN(CO3)-COLUMN($B$3)+2,FALSE)</f>
        <v>0</v>
      </c>
      <c r="CP3" s="67">
        <f>VLOOKUP($A$3,Razas!$A$2:$DU$39,COLUMN(CP3)-COLUMN($B$3)+2,FALSE)</f>
        <v>0</v>
      </c>
      <c r="CQ3" s="67">
        <f>VLOOKUP($A$3,Razas!$A$2:$DU$39,COLUMN(CQ3)-COLUMN($B$3)+2,FALSE)</f>
        <v>0</v>
      </c>
      <c r="CR3" s="67">
        <f>VLOOKUP($A$3,Razas!$A$2:$DU$39,COLUMN(CR3)-COLUMN($B$3)+2,FALSE)</f>
        <v>0</v>
      </c>
      <c r="CS3" s="67">
        <f>VLOOKUP($A$3,Razas!$A$2:$DU$39,COLUMN(CS3)-COLUMN($B$3)+2,FALSE)</f>
        <v>0</v>
      </c>
      <c r="CT3" s="67">
        <f>VLOOKUP($A$3,Razas!$A$2:$DU$39,COLUMN(CT3)-COLUMN($B$3)+2,FALSE)</f>
        <v>0</v>
      </c>
      <c r="CU3" s="67">
        <f>VLOOKUP($A$3,Razas!$A$2:$DU$39,COLUMN(CU3)-COLUMN($B$3)+2,FALSE)</f>
        <v>1</v>
      </c>
      <c r="CV3" s="67">
        <f>VLOOKUP($A$3,Razas!$A$2:$DU$39,COLUMN(CV3)-COLUMN($B$3)+2,FALSE)</f>
        <v>0</v>
      </c>
      <c r="CW3" s="67">
        <f>VLOOKUP($A$3,Razas!$A$2:$DU$39,COLUMN(CW3)-COLUMN($B$3)+2,FALSE)</f>
        <v>0</v>
      </c>
      <c r="CX3" s="67">
        <f>VLOOKUP($A$3,Razas!$A$2:$DU$39,COLUMN(CX3)-COLUMN($B$3)+2,FALSE)</f>
        <v>0</v>
      </c>
      <c r="CY3" s="67">
        <f>VLOOKUP($A$3,Razas!$A$2:$DU$39,COLUMN(CY3)-COLUMN($B$3)+2,FALSE)</f>
        <v>0</v>
      </c>
      <c r="CZ3" s="67">
        <f>VLOOKUP($A$3,Razas!$A$2:$DU$39,COLUMN(CZ3)-COLUMN($B$3)+2,FALSE)</f>
        <v>0</v>
      </c>
      <c r="DA3" s="67">
        <f>VLOOKUP($A$3,Razas!$A$2:$DU$39,COLUMN(DA3)-COLUMN($B$3)+2,FALSE)</f>
        <v>0</v>
      </c>
      <c r="DB3" s="67">
        <f>VLOOKUP($A$3,Razas!$A$2:$DU$39,COLUMN(DB3)-COLUMN($B$3)+2,FALSE)</f>
        <v>0</v>
      </c>
      <c r="DC3" s="67">
        <f>VLOOKUP($A$3,Razas!$A$2:$DU$39,COLUMN(DC3)-COLUMN($B$3)+2,FALSE)</f>
        <v>0</v>
      </c>
      <c r="DD3" s="67">
        <f>VLOOKUP($A$3,Razas!$A$2:$DU$39,COLUMN(DD3)-COLUMN($B$3)+2,FALSE)</f>
        <v>0</v>
      </c>
      <c r="DE3" s="67">
        <f>VLOOKUP($A$3,Razas!$A$2:$DU$39,COLUMN(DE3)-COLUMN($B$3)+2,FALSE)</f>
        <v>0</v>
      </c>
      <c r="DF3" s="68">
        <f>VLOOKUP($A$3,Razas!$A$2:$DU$39,COLUMN(DF3)-COLUMN($B$3)+2,FALSE)</f>
        <v>0</v>
      </c>
      <c r="DG3" s="68">
        <f>VLOOKUP($A$3,Razas!$A$2:$DU$39,COLUMN(DG3)-COLUMN($B$3)+2,FALSE)</f>
        <v>0</v>
      </c>
      <c r="DH3" s="68">
        <f>VLOOKUP($A$3,Razas!$A$2:$DU$39,COLUMN(DH3)-COLUMN($B$3)+2,FALSE)</f>
        <v>0</v>
      </c>
      <c r="DI3" s="68">
        <f>VLOOKUP($A$3,Razas!$A$2:$DU$39,COLUMN(DI3)-COLUMN($B$3)+2,FALSE)</f>
        <v>0</v>
      </c>
      <c r="DJ3" s="68">
        <f>VLOOKUP($A$3,Razas!$A$2:$DU$39,COLUMN(DJ3)-COLUMN($B$3)+2,FALSE)</f>
        <v>0</v>
      </c>
      <c r="DK3" s="68">
        <f>VLOOKUP($A$3,Razas!$A$2:$DU$39,COLUMN(DK3)-COLUMN($B$3)+2,FALSE)</f>
        <v>1</v>
      </c>
      <c r="DL3" s="69">
        <f>VLOOKUP($A$3,Razas!$A$2:$DU$39,COLUMN(DL3)-COLUMN($B$3)+2,FALSE)</f>
        <v>0</v>
      </c>
      <c r="DM3" s="69">
        <f>VLOOKUP($A$3,Razas!$A$2:$DU$39,COLUMN(DM3)-COLUMN($B$3)+2,FALSE)</f>
        <v>0</v>
      </c>
      <c r="DN3" s="69">
        <f>VLOOKUP($A$3,Razas!$A$2:$DU$39,COLUMN(DN3)-COLUMN($B$3)+2,FALSE)</f>
        <v>0</v>
      </c>
      <c r="DO3" s="69">
        <f>VLOOKUP($A$3,Razas!$A$2:$DU$39,COLUMN(DO3)-COLUMN($B$3)+2,FALSE)</f>
        <v>1</v>
      </c>
      <c r="DP3" s="69">
        <f>VLOOKUP($A$3,Razas!$A$2:$DU$39,COLUMN(DP3)-COLUMN($B$3)+2,FALSE)</f>
        <v>0</v>
      </c>
      <c r="DQ3" s="69">
        <f>VLOOKUP($A$3,Razas!$A$2:$DU$39,COLUMN(DQ3)-COLUMN($B$3)+2,FALSE)</f>
        <v>0</v>
      </c>
      <c r="DR3" s="69">
        <f>VLOOKUP($A$3,Razas!$A$2:$DU$39,COLUMN(DR3)-COLUMN($B$3)+2,FALSE)</f>
        <v>0</v>
      </c>
      <c r="DS3" s="69">
        <f>VLOOKUP($A$3,Razas!$A$2:$DU$39,COLUMN(DS3)-COLUMN($B$3)+2,FALSE)</f>
        <v>0</v>
      </c>
      <c r="DT3">
        <f>VLOOKUP($A$3,Razas!$A$2:$DU$39,COLUMN(DT3)-COLUMN($B$3)+2,FALSE)</f>
        <v>0</v>
      </c>
      <c r="DU3">
        <f>VLOOKUP($A$3,Razas!$A$2:$DV$39,COLUMN(DU3)-COLUMN($B$3)+2,FALSE)</f>
        <v>1</v>
      </c>
      <c r="DV3">
        <f>'Raciales Especiales'!B3</f>
        <v>2</v>
      </c>
      <c r="DW3">
        <f>VLOOKUP($A$3,Razas!$A$2:$DW$39,COLUMN(DW3)-COLUMN($B$3)+2,FALSE)</f>
        <v>6</v>
      </c>
    </row>
    <row r="4" spans="1:127" x14ac:dyDescent="0.25">
      <c r="A4" t="str">
        <f>'Ficha completa'!D2</f>
        <v>Brujo</v>
      </c>
      <c r="B4">
        <f>VLOOKUP($A$4,Clases!$A$2:$DV$48,COLUMN(B4)-COLUMN($B$3)+2,FALSE)</f>
        <v>20</v>
      </c>
      <c r="C4" s="58">
        <f>VLOOKUP($A$4,Clases!$A$2:$DT$48,COLUMN(C4)-COLUMN($B$3)+2,FALSE)</f>
        <v>0</v>
      </c>
      <c r="D4" s="58">
        <f>VLOOKUP($A$4,Clases!$A$2:$DT$48,COLUMN(D4)-COLUMN($B$3)+2,FALSE)</f>
        <v>0</v>
      </c>
      <c r="E4" s="58">
        <f>VLOOKUP($A$4,Clases!$A$2:$DT$48,COLUMN(E4)-COLUMN($B$3)+2,FALSE)</f>
        <v>1</v>
      </c>
      <c r="F4" s="58">
        <f>VLOOKUP($A$4,Clases!$A$2:$DT$48,COLUMN(F4)-COLUMN($B$3)+2,FALSE)</f>
        <v>0</v>
      </c>
      <c r="G4" s="58">
        <f>VLOOKUP($A$4,Clases!$A$2:$DT$48,COLUMN(G4)-COLUMN($B$3)+2,FALSE)</f>
        <v>0</v>
      </c>
      <c r="H4" s="58">
        <f>VLOOKUP($A$4,Clases!$A$2:$DT$48,COLUMN(H4)-COLUMN($B$3)+2,FALSE)</f>
        <v>0</v>
      </c>
      <c r="I4" s="58">
        <f>VLOOKUP($A$4,Clases!$A$2:$DT$48,COLUMN(I4)-COLUMN($B$3)+2,FALSE)</f>
        <v>1</v>
      </c>
      <c r="J4" s="58">
        <f>VLOOKUP($A$4,Clases!$A$2:$DT$48,COLUMN(J4)-COLUMN($B$3)+2,FALSE)</f>
        <v>1</v>
      </c>
      <c r="K4" s="59">
        <f>VLOOKUP($A$4,Clases!$A$2:$DT$48,COLUMN(K4)-COLUMN($B$3)+2,FALSE)</f>
        <v>0</v>
      </c>
      <c r="L4" s="59">
        <f>VLOOKUP($A$4,Clases!$A$2:$DT$48,COLUMN(L4)-COLUMN($B$3)+2,FALSE)</f>
        <v>0</v>
      </c>
      <c r="M4" s="59">
        <f>VLOOKUP($A$4,Clases!$A$2:$DT$48,COLUMN(M4)-COLUMN($B$3)+2,FALSE)</f>
        <v>0</v>
      </c>
      <c r="N4" s="59">
        <f>VLOOKUP($A$4,Clases!$A$2:$DT$48,COLUMN(N4)-COLUMN($B$3)+2,FALSE)</f>
        <v>0</v>
      </c>
      <c r="O4" s="59">
        <f>VLOOKUP($A$4,Clases!$A$2:$DT$48,COLUMN(O4)-COLUMN($B$3)+2,FALSE)</f>
        <v>0</v>
      </c>
      <c r="P4" s="59">
        <f>VLOOKUP($A$4,Clases!$A$2:$DT$48,COLUMN(P4)-COLUMN($B$3)+2,FALSE)</f>
        <v>0</v>
      </c>
      <c r="Q4" s="60">
        <f>VLOOKUP($A$4,Clases!$A$2:$DT$48,COLUMN(Q4)-COLUMN($B$3)+2,FALSE)</f>
        <v>0</v>
      </c>
      <c r="R4" s="60">
        <f>VLOOKUP($A$4,Clases!$A$2:$DT$48,COLUMN(R4)-COLUMN($B$3)+2,FALSE)</f>
        <v>1</v>
      </c>
      <c r="S4" s="60">
        <f>VLOOKUP($A$4,Clases!$A$2:$DT$48,COLUMN(S4)-COLUMN($B$3)+2,FALSE)</f>
        <v>0</v>
      </c>
      <c r="T4" s="61">
        <f>VLOOKUP($A$4,Clases!$A$2:$DT$48,COLUMN(T4)-COLUMN($B$3)+2,FALSE)</f>
        <v>1</v>
      </c>
      <c r="U4" s="61">
        <f>VLOOKUP($A$4,Clases!$A$2:$DT$48,COLUMN(U4)-COLUMN($B$3)+2,FALSE)</f>
        <v>0</v>
      </c>
      <c r="V4" s="61">
        <f>VLOOKUP($A$4,Clases!$A$2:$DT$48,COLUMN(V4)-COLUMN($B$3)+2,FALSE)</f>
        <v>1</v>
      </c>
      <c r="W4" s="61">
        <f>VLOOKUP($A$4,Clases!$A$2:$DT$48,COLUMN(W4)-COLUMN($B$3)+2,FALSE)</f>
        <v>0</v>
      </c>
      <c r="X4" s="62">
        <f>VLOOKUP($A$4,Clases!$A$2:$DT$48,COLUMN(X4)-COLUMN($B$3)+2,FALSE)</f>
        <v>0</v>
      </c>
      <c r="Y4" s="62">
        <f>VLOOKUP($A$4,Clases!$A$2:$DT$48,COLUMN(Y4)-COLUMN($B$3)+2,FALSE)</f>
        <v>0</v>
      </c>
      <c r="Z4" s="62">
        <f>VLOOKUP($A$4,Clases!$A$2:$DT$48,COLUMN(Z4)-COLUMN($B$3)+2,FALSE)</f>
        <v>1</v>
      </c>
      <c r="AA4" s="63">
        <f>VLOOKUP($A$4,Clases!$A$2:$DT$48,COLUMN(AA4)-COLUMN($B$3)+2,FALSE)</f>
        <v>0</v>
      </c>
      <c r="AB4" s="63">
        <f>VLOOKUP($A$4,Clases!$A$2:$DT$48,COLUMN(AB4)-COLUMN($B$3)+2,FALSE)</f>
        <v>0</v>
      </c>
      <c r="AC4" s="63">
        <f>VLOOKUP($A$4,Clases!$A$2:$DT$48,COLUMN(AC4)-COLUMN($B$3)+2,FALSE)</f>
        <v>0</v>
      </c>
      <c r="AD4" s="63">
        <f>VLOOKUP($A$4,Clases!$A$2:$DT$48,COLUMN(AD4)-COLUMN($B$3)+2,FALSE)</f>
        <v>0</v>
      </c>
      <c r="AE4" s="63">
        <f>VLOOKUP($A$4,Clases!$A$2:$DT$48,COLUMN(AE4)-COLUMN($B$3)+2,FALSE)</f>
        <v>1</v>
      </c>
      <c r="AF4" s="64">
        <f>VLOOKUP($A$4,Clases!$A$2:$DT$48,COLUMN(AF4)-COLUMN($B$3)+2,FALSE)</f>
        <v>0</v>
      </c>
      <c r="AG4" s="64">
        <f>VLOOKUP($A$4,Clases!$A$2:$DT$48,COLUMN(AG4)-COLUMN($B$3)+2,FALSE)</f>
        <v>0</v>
      </c>
      <c r="AH4" s="64">
        <f>VLOOKUP($A$4,Clases!$A$2:$DT$48,COLUMN(AH4)-COLUMN($B$3)+2,FALSE)</f>
        <v>0</v>
      </c>
      <c r="AI4" s="64">
        <f>VLOOKUP($A$4,Clases!$A$2:$DT$48,COLUMN(AI4)-COLUMN($B$3)+2,FALSE)</f>
        <v>0</v>
      </c>
      <c r="AJ4" s="64">
        <f>VLOOKUP($A$4,Clases!$A$2:$DT$48,COLUMN(AJ4)-COLUMN($B$3)+2,FALSE)</f>
        <v>0</v>
      </c>
      <c r="AK4" s="64">
        <f>VLOOKUP($A$4,Clases!$A$2:$DT$48,COLUMN(AK4)-COLUMN($B$3)+2,FALSE)</f>
        <v>0</v>
      </c>
      <c r="AL4" s="64">
        <f>VLOOKUP($A$4,Clases!$A$2:$DT$48,COLUMN(AL4)-COLUMN($B$3)+2,FALSE)</f>
        <v>0</v>
      </c>
      <c r="AM4" s="64">
        <f>VLOOKUP($A$4,Clases!$A$2:$DT$48,COLUMN(AM4)-COLUMN($B$3)+2,FALSE)</f>
        <v>0</v>
      </c>
      <c r="AN4" s="64">
        <f>VLOOKUP($A$4,Clases!$A$2:$DT$48,COLUMN(AN4)-COLUMN($B$3)+2,FALSE)</f>
        <v>0</v>
      </c>
      <c r="AO4" s="64">
        <f>VLOOKUP($A$4,Clases!$A$2:$DT$48,COLUMN(AO4)-COLUMN($B$3)+2,FALSE)</f>
        <v>0</v>
      </c>
      <c r="AP4" s="64">
        <f>VLOOKUP($A$4,Clases!$A$2:$DT$48,COLUMN(AP4)-COLUMN($B$3)+2,FALSE)</f>
        <v>1</v>
      </c>
      <c r="AQ4" s="64">
        <f>VLOOKUP($A$4,Clases!$A$2:$DT$48,COLUMN(AQ4)-COLUMN($B$3)+2,FALSE)</f>
        <v>1</v>
      </c>
      <c r="AR4" s="64">
        <f>VLOOKUP($A$4,Clases!$A$2:$DT$48,COLUMN(AR4)-COLUMN($B$3)+2,FALSE)</f>
        <v>1</v>
      </c>
      <c r="AS4" s="64">
        <f>VLOOKUP($A$4,Clases!$A$2:$DT$48,COLUMN(AS4)-COLUMN($B$3)+2,FALSE)</f>
        <v>0</v>
      </c>
      <c r="AT4" s="64">
        <f>VLOOKUP($A$4,Clases!$A$2:$DT$48,COLUMN(AT4)-COLUMN($B$3)+2,FALSE)</f>
        <v>0</v>
      </c>
      <c r="AU4" s="64">
        <f>VLOOKUP($A$4,Clases!$A$2:$DT$48,COLUMN(AU4)-COLUMN($B$3)+2,FALSE)</f>
        <v>0</v>
      </c>
      <c r="AV4" s="64">
        <f>VLOOKUP($A$4,Clases!$A$2:$DT$48,COLUMN(AV4)-COLUMN($B$3)+2,FALSE)</f>
        <v>0</v>
      </c>
      <c r="AW4" s="64">
        <f>VLOOKUP($A$4,Clases!$A$2:$DT$48,COLUMN(AW4)-COLUMN($B$3)+2,FALSE)</f>
        <v>0</v>
      </c>
      <c r="AX4" s="65">
        <f>VLOOKUP($A$4,Clases!$A$2:$DT$48,COLUMN(AX4)-COLUMN($B$3)+2,FALSE)</f>
        <v>0</v>
      </c>
      <c r="AY4" s="65">
        <f>VLOOKUP($A$4,Clases!$A$2:$DT$48,COLUMN(AY4)-COLUMN($B$3)+2,FALSE)</f>
        <v>0</v>
      </c>
      <c r="AZ4" s="65">
        <f>VLOOKUP($A$4,Clases!$A$2:$DT$48,COLUMN(AZ4)-COLUMN($B$3)+2,FALSE)</f>
        <v>0</v>
      </c>
      <c r="BA4" s="65">
        <f>VLOOKUP($A$4,Clases!$A$2:$DT$48,COLUMN(BA4)-COLUMN($B$3)+2,FALSE)</f>
        <v>0</v>
      </c>
      <c r="BB4" s="65">
        <f>VLOOKUP($A$4,Clases!$A$2:$DT$48,COLUMN(BB4)-COLUMN($B$3)+2,FALSE)</f>
        <v>0</v>
      </c>
      <c r="BC4" s="65">
        <f>VLOOKUP($A$4,Clases!$A$2:$DT$48,COLUMN(BC4)-COLUMN($B$3)+2,FALSE)</f>
        <v>1</v>
      </c>
      <c r="BD4" s="65">
        <f>VLOOKUP($A$4,Clases!$A$2:$DT$48,COLUMN(BD4)-COLUMN($B$3)+2,FALSE)</f>
        <v>1</v>
      </c>
      <c r="BE4" s="65">
        <f>VLOOKUP($A$4,Clases!$A$2:$DT$48,COLUMN(BE4)-COLUMN($B$3)+2,FALSE)</f>
        <v>0</v>
      </c>
      <c r="BF4" s="65">
        <f>VLOOKUP($A$4,Clases!$A$2:$DT$48,COLUMN(BF4)-COLUMN($B$3)+2,FALSE)</f>
        <v>1</v>
      </c>
      <c r="BG4" s="65">
        <f>VLOOKUP($A$4,Clases!$A$2:$DT$48,COLUMN(BG4)-COLUMN($B$3)+2,FALSE)</f>
        <v>0</v>
      </c>
      <c r="BH4" s="65">
        <f>VLOOKUP($A$4,Clases!$A$2:$DT$48,COLUMN(BH4)-COLUMN($B$3)+2,FALSE)</f>
        <v>0</v>
      </c>
      <c r="BI4" s="65">
        <f>VLOOKUP($A$4,Clases!$A$2:$DT$48,COLUMN(BI4)-COLUMN($B$3)+2,FALSE)</f>
        <v>0</v>
      </c>
      <c r="BJ4" s="65">
        <f>VLOOKUP($A$4,Clases!$A$2:$DT$48,COLUMN(BJ4)-COLUMN($B$3)+2,FALSE)</f>
        <v>0</v>
      </c>
      <c r="BK4" s="65">
        <f>VLOOKUP($A$4,Clases!$A$2:$DT$48,COLUMN(BK4)-COLUMN($B$3)+2,FALSE)</f>
        <v>0</v>
      </c>
      <c r="BL4" s="65">
        <f>VLOOKUP($A$4,Clases!$A$2:$DT$48,COLUMN(BL4)-COLUMN($B$3)+2,FALSE)</f>
        <v>0</v>
      </c>
      <c r="BM4" s="65">
        <f>VLOOKUP($A$4,Clases!$A$2:$DT$48,COLUMN(BM4)-COLUMN($B$3)+2,FALSE)</f>
        <v>0</v>
      </c>
      <c r="BN4" s="65">
        <f>VLOOKUP($A$4,Clases!$A$2:$DT$48,COLUMN(BN4)-COLUMN($B$3)+2,FALSE)</f>
        <v>0</v>
      </c>
      <c r="BO4" s="65">
        <f>VLOOKUP($A$4,Clases!$A$2:$DT$48,COLUMN(BO4)-COLUMN($B$3)+2,FALSE)</f>
        <v>0</v>
      </c>
      <c r="BP4" s="65">
        <f>VLOOKUP($A$4,Clases!$A$2:$DT$48,COLUMN(BP4)-COLUMN($B$3)+2,FALSE)</f>
        <v>0</v>
      </c>
      <c r="BQ4" s="65">
        <f>VLOOKUP($A$4,Clases!$A$2:$DT$48,COLUMN(BQ4)-COLUMN($B$3)+2,FALSE)</f>
        <v>0</v>
      </c>
      <c r="BR4" s="65">
        <f>VLOOKUP($A$4,Clases!$A$2:$DT$48,COLUMN(BR4)-COLUMN($B$3)+2,FALSE)</f>
        <v>0</v>
      </c>
      <c r="BS4" s="65">
        <f>VLOOKUP($A$4,Clases!$A$2:$DT$48,COLUMN(BS4)-COLUMN($B$3)+2,FALSE)</f>
        <v>0</v>
      </c>
      <c r="BT4" s="65">
        <f>VLOOKUP($A$4,Clases!$A$2:$DT$48,COLUMN(BT4)-COLUMN($B$3)+2,FALSE)</f>
        <v>0</v>
      </c>
      <c r="BU4" s="66">
        <f>VLOOKUP($A$4,Clases!$A$2:$DT$48,COLUMN(BU4)-COLUMN($B$3)+2,FALSE)</f>
        <v>0</v>
      </c>
      <c r="BV4" s="66">
        <f>VLOOKUP($A$4,Clases!$A$2:$DT$48,COLUMN(BV4)-COLUMN($B$3)+2,FALSE)</f>
        <v>0</v>
      </c>
      <c r="BW4" s="66">
        <f>VLOOKUP($A$4,Clases!$A$2:$DT$48,COLUMN(BW4)-COLUMN($B$3)+2,FALSE)</f>
        <v>0</v>
      </c>
      <c r="BX4" s="66">
        <f>VLOOKUP($A$4,Clases!$A$2:$DT$48,COLUMN(BX4)-COLUMN($B$3)+2,FALSE)</f>
        <v>0</v>
      </c>
      <c r="BY4" s="66">
        <f>VLOOKUP($A$4,Clases!$A$2:$DT$48,COLUMN(BY4)-COLUMN($B$3)+2,FALSE)</f>
        <v>0</v>
      </c>
      <c r="BZ4" s="66">
        <f>VLOOKUP($A$4,Clases!$A$2:$DT$48,COLUMN(BZ4)-COLUMN($B$3)+2,FALSE)</f>
        <v>0</v>
      </c>
      <c r="CA4" s="66">
        <f>VLOOKUP($A$4,Clases!$A$2:$DT$48,COLUMN(CA4)-COLUMN($B$3)+2,FALSE)</f>
        <v>0</v>
      </c>
      <c r="CB4" s="66">
        <f>VLOOKUP($A$4,Clases!$A$2:$DT$48,COLUMN(CB4)-COLUMN($B$3)+2,FALSE)</f>
        <v>0</v>
      </c>
      <c r="CC4" s="66">
        <f>VLOOKUP($A$4,Clases!$A$2:$DT$48,COLUMN(CC4)-COLUMN($B$3)+2,FALSE)</f>
        <v>0</v>
      </c>
      <c r="CD4" s="66">
        <f>VLOOKUP($A$4,Clases!$A$2:$DT$48,COLUMN(CD4)-COLUMN($B$3)+2,FALSE)</f>
        <v>0</v>
      </c>
      <c r="CE4" s="66">
        <f>VLOOKUP($A$4,Clases!$A$2:$DT$48,COLUMN(CE4)-COLUMN($B$3)+2,FALSE)</f>
        <v>0</v>
      </c>
      <c r="CF4" s="66">
        <f>VLOOKUP($A$4,Clases!$A$2:$DT$48,COLUMN(CF4)-COLUMN($B$3)+2,FALSE)</f>
        <v>0</v>
      </c>
      <c r="CG4" s="66">
        <f>VLOOKUP($A$4,Clases!$A$2:$DT$48,COLUMN(CG4)-COLUMN($B$3)+2,FALSE)</f>
        <v>0</v>
      </c>
      <c r="CH4" s="66">
        <f>VLOOKUP($A$4,Clases!$A$2:$DT$48,COLUMN(CH4)-COLUMN($B$3)+2,FALSE)</f>
        <v>0</v>
      </c>
      <c r="CI4" s="66">
        <f>VLOOKUP($A$4,Clases!$A$2:$DT$48,COLUMN(CI4)-COLUMN($B$3)+2,FALSE)</f>
        <v>0</v>
      </c>
      <c r="CJ4" s="66">
        <f>VLOOKUP($A$4,Clases!$A$2:$DT$48,COLUMN(CJ4)-COLUMN($B$3)+2,FALSE)</f>
        <v>0</v>
      </c>
      <c r="CK4" s="66">
        <f>VLOOKUP($A$4,Clases!$A$2:$DT$48,COLUMN(CK4)-COLUMN($B$3)+2,FALSE)</f>
        <v>0</v>
      </c>
      <c r="CL4" s="66">
        <f>VLOOKUP($A$4,Clases!$A$2:$DT$48,COLUMN(CL4)-COLUMN($B$3)+2,FALSE)</f>
        <v>0</v>
      </c>
      <c r="CM4" s="67">
        <f>VLOOKUP($A$4,Clases!$A$2:$DT$48,COLUMN(CM4)-COLUMN($B$3)+2,FALSE)</f>
        <v>1</v>
      </c>
      <c r="CN4" s="67">
        <f>VLOOKUP($A$4,Clases!$A$2:$DT$48,COLUMN(CN4)-COLUMN($B$3)+2,FALSE)</f>
        <v>0</v>
      </c>
      <c r="CO4" s="67">
        <f>VLOOKUP($A$4,Clases!$A$2:$DT$48,COLUMN(CO4)-COLUMN($B$3)+2,FALSE)</f>
        <v>0</v>
      </c>
      <c r="CP4" s="67">
        <f>VLOOKUP($A$4,Clases!$A$2:$DT$48,COLUMN(CP4)-COLUMN($B$3)+2,FALSE)</f>
        <v>0</v>
      </c>
      <c r="CQ4" s="67">
        <f>VLOOKUP($A$4,Clases!$A$2:$DT$48,COLUMN(CQ4)-COLUMN($B$3)+2,FALSE)</f>
        <v>1</v>
      </c>
      <c r="CR4" s="67">
        <f>VLOOKUP($A$4,Clases!$A$2:$DT$48,COLUMN(CR4)-COLUMN($B$3)+2,FALSE)</f>
        <v>0</v>
      </c>
      <c r="CS4" s="67">
        <f>VLOOKUP($A$4,Clases!$A$2:$DT$48,COLUMN(CS4)-COLUMN($B$3)+2,FALSE)</f>
        <v>0</v>
      </c>
      <c r="CT4" s="67">
        <f>VLOOKUP($A$4,Clases!$A$2:$DT$48,COLUMN(CT4)-COLUMN($B$3)+2,FALSE)</f>
        <v>0</v>
      </c>
      <c r="CU4" s="67">
        <f>VLOOKUP($A$4,Clases!$A$2:$DT$48,COLUMN(CU4)-COLUMN($B$3)+2,FALSE)</f>
        <v>0</v>
      </c>
      <c r="CV4" s="67">
        <f>VLOOKUP($A$4,Clases!$A$2:$DT$48,COLUMN(CV4)-COLUMN($B$3)+2,FALSE)</f>
        <v>0</v>
      </c>
      <c r="CW4" s="67">
        <f>VLOOKUP($A$4,Clases!$A$2:$DT$48,COLUMN(CW4)-COLUMN($B$3)+2,FALSE)</f>
        <v>0</v>
      </c>
      <c r="CX4" s="67">
        <f>VLOOKUP($A$4,Clases!$A$2:$DT$48,COLUMN(CX4)-COLUMN($B$3)+2,FALSE)</f>
        <v>0</v>
      </c>
      <c r="CY4" s="67">
        <f>VLOOKUP($A$4,Clases!$A$2:$DT$48,COLUMN(CY4)-COLUMN($B$3)+2,FALSE)</f>
        <v>0</v>
      </c>
      <c r="CZ4" s="67">
        <f>VLOOKUP($A$4,Clases!$A$2:$DT$48,COLUMN(CZ4)-COLUMN($B$3)+2,FALSE)</f>
        <v>0</v>
      </c>
      <c r="DA4" s="67">
        <f>VLOOKUP($A$4,Clases!$A$2:$DT$48,COLUMN(DA4)-COLUMN($B$3)+2,FALSE)</f>
        <v>0</v>
      </c>
      <c r="DB4" s="67">
        <f>VLOOKUP($A$4,Clases!$A$2:$DT$48,COLUMN(DB4)-COLUMN($B$3)+2,FALSE)</f>
        <v>0</v>
      </c>
      <c r="DC4" s="67">
        <f>VLOOKUP($A$4,Clases!$A$2:$DT$48,COLUMN(DC4)-COLUMN($B$3)+2,FALSE)</f>
        <v>0</v>
      </c>
      <c r="DD4" s="67">
        <f>VLOOKUP($A$4,Clases!$A$2:$DT$48,COLUMN(DD4)-COLUMN($B$3)+2,FALSE)</f>
        <v>0</v>
      </c>
      <c r="DE4" s="67">
        <f>VLOOKUP($A$4,Clases!$A$2:$DT$48,COLUMN(DE4)-COLUMN($B$3)+2,FALSE)</f>
        <v>0</v>
      </c>
      <c r="DF4" s="68">
        <f>VLOOKUP($A$4,Clases!$A$2:$DT$48,COLUMN(DF4)-COLUMN($B$3)+2,FALSE)</f>
        <v>0</v>
      </c>
      <c r="DG4" s="68">
        <f>VLOOKUP($A$4,Clases!$A$2:$DT$48,COLUMN(DG4)-COLUMN($B$3)+2,FALSE)</f>
        <v>0</v>
      </c>
      <c r="DH4" s="68">
        <f>VLOOKUP($A$4,Clases!$A$2:$DT$48,COLUMN(DH4)-COLUMN($B$3)+2,FALSE)</f>
        <v>1</v>
      </c>
      <c r="DI4" s="68">
        <f>VLOOKUP($A$4,Clases!$A$2:$DT$48,COLUMN(DI4)-COLUMN($B$3)+2,FALSE)</f>
        <v>0</v>
      </c>
      <c r="DJ4" s="68">
        <f>VLOOKUP($A$4,Clases!$A$2:$DT$48,COLUMN(DJ4)-COLUMN($B$3)+2,FALSE)</f>
        <v>0</v>
      </c>
      <c r="DK4" s="68">
        <f>VLOOKUP($A$4,Clases!$A$2:$DT$48,COLUMN(DK4)-COLUMN($B$3)+2,FALSE)</f>
        <v>1</v>
      </c>
      <c r="DL4" s="69">
        <f>VLOOKUP($A$4,Clases!$A$2:$DT$48,COLUMN(DL4)-COLUMN($B$3)+2,FALSE)</f>
        <v>0</v>
      </c>
      <c r="DM4" s="69">
        <f>VLOOKUP($A$4,Clases!$A$2:$DT$48,COLUMN(DM4)-COLUMN($B$3)+2,FALSE)</f>
        <v>0</v>
      </c>
      <c r="DN4" s="69">
        <f>VLOOKUP($A$4,Clases!$A$2:$DT$48,COLUMN(DN4)-COLUMN($B$3)+2,FALSE)</f>
        <v>1</v>
      </c>
      <c r="DO4" s="69">
        <f>VLOOKUP($A$4,Clases!$A$2:$DT$48,COLUMN(DO4)-COLUMN($B$3)+2,FALSE)</f>
        <v>0</v>
      </c>
      <c r="DP4" s="69">
        <f>VLOOKUP($A$4,Clases!$A$2:$DT$48,COLUMN(DP4)-COLUMN($B$3)+2,FALSE)</f>
        <v>1</v>
      </c>
      <c r="DQ4" s="69">
        <f>VLOOKUP($A$4,Clases!$A$2:$DT$48,COLUMN(DQ4)-COLUMN($B$3)+2,FALSE)</f>
        <v>0</v>
      </c>
      <c r="DR4" s="69">
        <f>VLOOKUP($A$4,Clases!$A$2:$DT$48,COLUMN(DR4)-COLUMN($B$3)+2,FALSE)</f>
        <v>0</v>
      </c>
      <c r="DS4" s="69">
        <f>VLOOKUP($A$4,Clases!$A$2:$DT$48,COLUMN(DS4)-COLUMN($B$3)+2,FALSE)</f>
        <v>0</v>
      </c>
      <c r="DT4">
        <f>VLOOKUP($A$4,Clases!$A$2:$DT$48,COLUMN(DT4)-COLUMN($B$3)+2,FALSE)</f>
        <v>0</v>
      </c>
      <c r="DU4">
        <f>VLOOKUP($A$4,Clases!$A$2:$DU$48,COLUMN(DU4)-COLUMN($B$3)+2,FALSE)</f>
        <v>0</v>
      </c>
      <c r="DV4">
        <f>'Raciales Especiales'!B4</f>
        <v>2</v>
      </c>
    </row>
    <row r="5" spans="1:127" x14ac:dyDescent="0.25">
      <c r="A5" t="s">
        <v>191</v>
      </c>
      <c r="C5" s="58">
        <v>1</v>
      </c>
      <c r="D5" s="58">
        <v>1</v>
      </c>
      <c r="E5" s="58">
        <v>1</v>
      </c>
      <c r="F5" s="58">
        <v>1</v>
      </c>
      <c r="G5" s="58">
        <v>1</v>
      </c>
      <c r="H5" s="58">
        <v>1</v>
      </c>
      <c r="I5" s="58">
        <v>1</v>
      </c>
      <c r="J5" s="58">
        <v>1</v>
      </c>
      <c r="DV5">
        <f>'Raciales Especiales'!B5</f>
        <v>2</v>
      </c>
    </row>
    <row r="6" spans="1:127" x14ac:dyDescent="0.25">
      <c r="DV6">
        <f>'Raciales Especiales'!B6</f>
        <v>3</v>
      </c>
    </row>
    <row r="7" spans="1:127" x14ac:dyDescent="0.25">
      <c r="DV7">
        <f>'Raciales Especiales'!B7</f>
        <v>3</v>
      </c>
    </row>
    <row r="8" spans="1:127" x14ac:dyDescent="0.25">
      <c r="DV8">
        <f>'Raciales Especiales'!B8</f>
        <v>3</v>
      </c>
    </row>
    <row r="9" spans="1:127" x14ac:dyDescent="0.25">
      <c r="DV9">
        <f>'Raciales Especiales'!B9</f>
        <v>2</v>
      </c>
    </row>
    <row r="10" spans="1:127" x14ac:dyDescent="0.25">
      <c r="DV10">
        <f>'Raciales Especiales'!B10</f>
        <v>3</v>
      </c>
    </row>
    <row r="11" spans="1:127" x14ac:dyDescent="0.25">
      <c r="DV11">
        <f>'Raciales Especiales'!B11</f>
        <v>2</v>
      </c>
    </row>
    <row r="12" spans="1:127" x14ac:dyDescent="0.25">
      <c r="DV12">
        <f>'Raciales Especiales'!B12</f>
        <v>1</v>
      </c>
    </row>
    <row r="13" spans="1:127" x14ac:dyDescent="0.25">
      <c r="DV13">
        <f>'Raciales Especiales'!B13</f>
        <v>3</v>
      </c>
    </row>
    <row r="14" spans="1:127" x14ac:dyDescent="0.25">
      <c r="DV14">
        <f>'Raciales Especiales'!B14</f>
        <v>1</v>
      </c>
    </row>
    <row r="15" spans="1:127" x14ac:dyDescent="0.25">
      <c r="DV15">
        <f>'Raciales Especiales'!B15</f>
        <v>0</v>
      </c>
    </row>
    <row r="16" spans="1:127" x14ac:dyDescent="0.25">
      <c r="DV16">
        <f>'Raciales Especiales'!B16</f>
        <v>1</v>
      </c>
    </row>
    <row r="17" spans="126:126" x14ac:dyDescent="0.25">
      <c r="DV17">
        <f>'Raciales Especiales'!B17</f>
        <v>2</v>
      </c>
    </row>
    <row r="18" spans="126:126" x14ac:dyDescent="0.25">
      <c r="DV18">
        <f>'Raciales Especiales'!B18</f>
        <v>4</v>
      </c>
    </row>
    <row r="19" spans="126:126" x14ac:dyDescent="0.25">
      <c r="DV19">
        <f>'Raciales Especiales'!B19</f>
        <v>1</v>
      </c>
    </row>
    <row r="20" spans="126:126" x14ac:dyDescent="0.25">
      <c r="DV20">
        <f>'Raciales Especiales'!B20</f>
        <v>0</v>
      </c>
    </row>
    <row r="21" spans="126:126" x14ac:dyDescent="0.25">
      <c r="DV21">
        <f>'Raciales Especiales'!B21</f>
        <v>2</v>
      </c>
    </row>
    <row r="22" spans="126:126" x14ac:dyDescent="0.25">
      <c r="DV22">
        <f>'Raciales Especiales'!B22</f>
        <v>1</v>
      </c>
    </row>
    <row r="23" spans="126:126" x14ac:dyDescent="0.25">
      <c r="DV23">
        <f>'Raciales Especiales'!B23</f>
        <v>1</v>
      </c>
    </row>
    <row r="24" spans="126:126" x14ac:dyDescent="0.25">
      <c r="DV24">
        <f>'Raciales Especiales'!B24</f>
        <v>3</v>
      </c>
    </row>
    <row r="25" spans="126:126" x14ac:dyDescent="0.25">
      <c r="DV25">
        <f>'Raciales Especiales'!B25</f>
        <v>2</v>
      </c>
    </row>
    <row r="26" spans="126:126" x14ac:dyDescent="0.25">
      <c r="DV26">
        <f>'Raciales Especiales'!B26</f>
        <v>1</v>
      </c>
    </row>
    <row r="27" spans="126:126" x14ac:dyDescent="0.25">
      <c r="DV27">
        <f>'Raciales Especiales'!B27</f>
        <v>1</v>
      </c>
    </row>
    <row r="28" spans="126:126" x14ac:dyDescent="0.25">
      <c r="DV28">
        <f>'Raciales Especiales'!B28</f>
        <v>1</v>
      </c>
    </row>
    <row r="29" spans="126:126" x14ac:dyDescent="0.25">
      <c r="DV29">
        <f>'Raciales Especiales'!B29</f>
        <v>1</v>
      </c>
    </row>
    <row r="30" spans="126:126" x14ac:dyDescent="0.25">
      <c r="DV30">
        <f>'Raciales Especiales'!B29</f>
        <v>1</v>
      </c>
    </row>
    <row r="31" spans="126:126" x14ac:dyDescent="0.25">
      <c r="DV31">
        <f>'Raciales Especiales'!B30</f>
        <v>1</v>
      </c>
    </row>
    <row r="32" spans="126:126" x14ac:dyDescent="0.25">
      <c r="DV32">
        <f>'Raciales Especiales'!B31</f>
        <v>1</v>
      </c>
    </row>
    <row r="33" spans="126:126" x14ac:dyDescent="0.25">
      <c r="DV33">
        <f>'Raciales Especiales'!B32</f>
        <v>2</v>
      </c>
    </row>
    <row r="34" spans="126:126" x14ac:dyDescent="0.25">
      <c r="DV34">
        <f>'Raciales Especiales'!B33</f>
        <v>2</v>
      </c>
    </row>
    <row r="35" spans="126:126" x14ac:dyDescent="0.25">
      <c r="DV35">
        <f>'Raciales Especiales'!B34</f>
        <v>2</v>
      </c>
    </row>
    <row r="36" spans="126:126" x14ac:dyDescent="0.25">
      <c r="DV36">
        <f>'Raciales Especiales'!B35</f>
        <v>1</v>
      </c>
    </row>
    <row r="37" spans="126:126" x14ac:dyDescent="0.25">
      <c r="DV37">
        <f>'Raciales Especiales'!B36</f>
        <v>1</v>
      </c>
    </row>
    <row r="38" spans="126:126" x14ac:dyDescent="0.25">
      <c r="DV38">
        <f>'Raciales Especiales'!B37</f>
        <v>2</v>
      </c>
    </row>
    <row r="39" spans="126:126" x14ac:dyDescent="0.25">
      <c r="DV39">
        <f>'Raciales Especiales'!B38</f>
        <v>2</v>
      </c>
    </row>
    <row r="40" spans="126:126" x14ac:dyDescent="0.25">
      <c r="DV40" s="129">
        <f>'Raciales Especiales'!B39</f>
        <v>3</v>
      </c>
    </row>
  </sheetData>
  <sheetProtection algorithmName="SHA-512" hashValue="R7bPEd65pw+JsfYH1xZaI+Db9ISxbTTwT356j7TzGlhs2XuQo5UIl5Ukky2gYuxMo1VwKK82uxVJkAuOLowkYQ==" saltValue="e3tWnubTQaBp0annSC7/2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16DD-A603-4BE9-B655-97980E0DDE89}">
  <sheetPr codeName="Hoja3"/>
  <dimension ref="A1:DW40"/>
  <sheetViews>
    <sheetView workbookViewId="0">
      <pane xSplit="2" ySplit="1" topLeftCell="BN2" activePane="bottomRight" state="frozen"/>
      <selection sqref="A1:XFD1048576"/>
      <selection pane="topRight" sqref="A1:XFD1048576"/>
      <selection pane="bottomLeft" sqref="A1:XFD1048576"/>
      <selection pane="bottomRight" activeCell="DW1" sqref="DW1:DW1048576"/>
    </sheetView>
  </sheetViews>
  <sheetFormatPr baseColWidth="10" defaultColWidth="11.5703125" defaultRowHeight="15" x14ac:dyDescent="0.25"/>
  <cols>
    <col min="1" max="1" width="28.85546875" bestFit="1" customWidth="1"/>
    <col min="2" max="2" width="3.85546875" customWidth="1"/>
    <col min="3" max="10" width="3.7109375" style="3" bestFit="1" customWidth="1"/>
    <col min="11" max="16" width="3.7109375" style="4" bestFit="1" customWidth="1"/>
    <col min="17" max="19" width="3.7109375" style="5" bestFit="1" customWidth="1"/>
    <col min="20" max="22" width="3.7109375" style="6" bestFit="1" customWidth="1"/>
    <col min="23" max="23" width="3.7109375" style="6" customWidth="1"/>
    <col min="24" max="25" width="3.7109375" style="7" bestFit="1" customWidth="1"/>
    <col min="26" max="26" width="3.7109375" style="21" bestFit="1" customWidth="1"/>
    <col min="27" max="30" width="3.7109375" style="22" bestFit="1" customWidth="1"/>
    <col min="31" max="31" width="3.7109375" style="27" bestFit="1" customWidth="1"/>
    <col min="32" max="48" width="3.7109375" style="28" bestFit="1" customWidth="1"/>
    <col min="49" max="49" width="3.7109375" style="29" bestFit="1" customWidth="1"/>
    <col min="50" max="65" width="3.7109375" style="30" bestFit="1" customWidth="1"/>
    <col min="66" max="71" width="3.7109375" style="31" customWidth="1"/>
    <col min="72" max="72" width="3.7109375" style="31" bestFit="1" customWidth="1"/>
    <col min="73" max="89" width="3.7109375" style="32" bestFit="1" customWidth="1"/>
    <col min="90" max="90" width="3.7109375" style="33" customWidth="1"/>
    <col min="91" max="108" width="3.7109375" style="34" bestFit="1" customWidth="1"/>
    <col min="109" max="109" width="3.7109375" style="35" bestFit="1" customWidth="1"/>
    <col min="110" max="115" width="3.7109375" style="36" bestFit="1" customWidth="1"/>
    <col min="116" max="119" width="3.7109375" style="37" bestFit="1" customWidth="1"/>
    <col min="120" max="120" width="3.7109375" style="37" customWidth="1"/>
    <col min="121" max="123" width="3.7109375" style="37" bestFit="1" customWidth="1"/>
    <col min="124" max="127" width="3.7109375" bestFit="1" customWidth="1"/>
  </cols>
  <sheetData>
    <row r="1" spans="1:127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2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30</v>
      </c>
      <c r="Y1" s="12" t="s">
        <v>31</v>
      </c>
      <c r="Z1" s="19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5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9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1" t="s">
        <v>144</v>
      </c>
      <c r="BO1" s="41" t="s">
        <v>72</v>
      </c>
      <c r="BP1" s="41" t="s">
        <v>91</v>
      </c>
      <c r="BQ1" s="41" t="s">
        <v>92</v>
      </c>
      <c r="BR1" s="41" t="s">
        <v>93</v>
      </c>
      <c r="BS1" s="41" t="s">
        <v>94</v>
      </c>
      <c r="BT1" s="41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3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5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236</v>
      </c>
      <c r="DQ1" s="47" t="s">
        <v>124</v>
      </c>
      <c r="DR1" s="47" t="s">
        <v>125</v>
      </c>
      <c r="DS1" s="47" t="s">
        <v>126</v>
      </c>
      <c r="DT1" s="1" t="s">
        <v>129</v>
      </c>
      <c r="DU1" s="1" t="s">
        <v>128</v>
      </c>
      <c r="DV1" s="1" t="s">
        <v>210</v>
      </c>
      <c r="DW1" s="1" t="s">
        <v>267</v>
      </c>
    </row>
    <row r="2" spans="1:127" x14ac:dyDescent="0.25">
      <c r="A2" s="70" t="s">
        <v>154</v>
      </c>
      <c r="B2" s="18">
        <f>SUM(C2:DV2)</f>
        <v>13</v>
      </c>
      <c r="C2" s="13"/>
      <c r="D2" s="13"/>
      <c r="E2" s="13"/>
      <c r="F2" s="13">
        <v>1</v>
      </c>
      <c r="G2" s="13"/>
      <c r="H2" s="13">
        <v>1</v>
      </c>
      <c r="I2" s="13"/>
      <c r="J2" s="13"/>
      <c r="K2" s="14"/>
      <c r="L2" s="14"/>
      <c r="M2" s="14"/>
      <c r="N2" s="14"/>
      <c r="O2" s="14"/>
      <c r="P2" s="14"/>
      <c r="Q2" s="15"/>
      <c r="R2" s="15">
        <v>1</v>
      </c>
      <c r="S2" s="15"/>
      <c r="T2" s="16"/>
      <c r="U2" s="16"/>
      <c r="V2" s="16"/>
      <c r="W2" s="16">
        <v>1</v>
      </c>
      <c r="X2" s="17"/>
      <c r="Y2" s="17"/>
      <c r="Z2" s="20"/>
      <c r="AA2" s="24"/>
      <c r="AB2" s="24">
        <v>1</v>
      </c>
      <c r="AC2" s="24"/>
      <c r="AD2" s="24"/>
      <c r="AE2" s="26"/>
      <c r="AF2" s="48">
        <v>1</v>
      </c>
      <c r="AG2" s="48">
        <v>1</v>
      </c>
      <c r="AH2" s="48">
        <v>1</v>
      </c>
      <c r="AI2" s="48">
        <v>1</v>
      </c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9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1"/>
      <c r="BO2" s="51"/>
      <c r="BP2" s="51"/>
      <c r="BQ2" s="51"/>
      <c r="BR2" s="51"/>
      <c r="BS2" s="51"/>
      <c r="BT2" s="51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2"/>
      <c r="CL2" s="53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5"/>
      <c r="DF2" s="56"/>
      <c r="DG2" s="56"/>
      <c r="DH2" s="56"/>
      <c r="DI2" s="56"/>
      <c r="DJ2" s="56"/>
      <c r="DK2" s="56"/>
      <c r="DL2" s="57"/>
      <c r="DM2" s="57"/>
      <c r="DN2" s="57"/>
      <c r="DO2" s="57"/>
      <c r="DP2" s="57"/>
      <c r="DQ2" s="57"/>
      <c r="DR2" s="57"/>
      <c r="DS2" s="57">
        <v>1</v>
      </c>
      <c r="DV2">
        <f>'Raciales Especiales'!B2</f>
        <v>3</v>
      </c>
      <c r="DW2">
        <v>10</v>
      </c>
    </row>
    <row r="3" spans="1:127" x14ac:dyDescent="0.25">
      <c r="A3" s="70" t="s">
        <v>155</v>
      </c>
      <c r="B3" s="18">
        <f t="shared" ref="B3:B39" si="0">SUM(C3:DV3)</f>
        <v>14</v>
      </c>
      <c r="C3" s="13">
        <v>1</v>
      </c>
      <c r="D3" s="13"/>
      <c r="E3" s="13"/>
      <c r="F3" s="13"/>
      <c r="G3" s="13"/>
      <c r="H3" s="13">
        <v>1</v>
      </c>
      <c r="I3" s="13"/>
      <c r="J3" s="13"/>
      <c r="K3" s="14">
        <v>1</v>
      </c>
      <c r="L3" s="14"/>
      <c r="M3" s="14"/>
      <c r="N3" s="14">
        <v>1</v>
      </c>
      <c r="O3" s="14"/>
      <c r="P3" s="14"/>
      <c r="Q3" s="15">
        <v>1</v>
      </c>
      <c r="R3" s="15">
        <v>1</v>
      </c>
      <c r="S3" s="15"/>
      <c r="T3" s="16"/>
      <c r="U3" s="16"/>
      <c r="V3" s="16">
        <v>1</v>
      </c>
      <c r="W3" s="16"/>
      <c r="X3" s="17"/>
      <c r="Y3" s="17"/>
      <c r="Z3" s="20"/>
      <c r="AA3" s="24"/>
      <c r="AB3" s="24"/>
      <c r="AC3" s="24"/>
      <c r="AD3" s="24"/>
      <c r="AE3" s="26"/>
      <c r="AF3" s="28">
        <v>1</v>
      </c>
      <c r="AG3" s="28">
        <v>1</v>
      </c>
      <c r="AH3" s="28">
        <v>1</v>
      </c>
      <c r="AI3" s="28">
        <v>1</v>
      </c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9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51"/>
      <c r="BP3" s="51"/>
      <c r="BQ3" s="51"/>
      <c r="BR3" s="51"/>
      <c r="BS3" s="51"/>
      <c r="BT3" s="51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3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5"/>
      <c r="DF3" s="56"/>
      <c r="DG3" s="56"/>
      <c r="DH3" s="56"/>
      <c r="DI3" s="56"/>
      <c r="DJ3" s="56"/>
      <c r="DK3" s="56"/>
      <c r="DL3" s="57">
        <v>1</v>
      </c>
      <c r="DM3" s="57"/>
      <c r="DN3" s="57"/>
      <c r="DO3" s="57"/>
      <c r="DP3" s="57"/>
      <c r="DQ3" s="57"/>
      <c r="DR3" s="57"/>
      <c r="DS3" s="57"/>
      <c r="DV3">
        <f>'Raciales Especiales'!B3</f>
        <v>2</v>
      </c>
      <c r="DW3">
        <v>10</v>
      </c>
    </row>
    <row r="4" spans="1:127" x14ac:dyDescent="0.25">
      <c r="A4" s="70" t="s">
        <v>156</v>
      </c>
      <c r="B4" s="18">
        <f t="shared" si="0"/>
        <v>13</v>
      </c>
      <c r="C4" s="13"/>
      <c r="D4" s="13">
        <v>1</v>
      </c>
      <c r="E4" s="13"/>
      <c r="F4" s="13"/>
      <c r="G4" s="13"/>
      <c r="H4" s="13">
        <v>1</v>
      </c>
      <c r="I4" s="13"/>
      <c r="J4" s="13"/>
      <c r="K4" s="14"/>
      <c r="L4" s="14"/>
      <c r="M4" s="14"/>
      <c r="N4" s="14"/>
      <c r="O4" s="14"/>
      <c r="P4" s="14"/>
      <c r="Q4" s="15"/>
      <c r="R4" s="15">
        <v>1</v>
      </c>
      <c r="S4" s="15"/>
      <c r="T4" s="16"/>
      <c r="U4" s="16"/>
      <c r="V4" s="16"/>
      <c r="W4" s="16">
        <v>1</v>
      </c>
      <c r="X4" s="17"/>
      <c r="Y4" s="17"/>
      <c r="Z4" s="20"/>
      <c r="AA4" s="24"/>
      <c r="AB4" s="24">
        <v>1</v>
      </c>
      <c r="AC4" s="24"/>
      <c r="AD4" s="24"/>
      <c r="AE4" s="26"/>
      <c r="AF4" s="48">
        <v>1</v>
      </c>
      <c r="AG4" s="48">
        <v>1</v>
      </c>
      <c r="AH4" s="48">
        <v>1</v>
      </c>
      <c r="AI4" s="48">
        <v>1</v>
      </c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9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1"/>
      <c r="BO4" s="51"/>
      <c r="BP4" s="51"/>
      <c r="BQ4" s="51"/>
      <c r="BR4" s="51"/>
      <c r="BS4" s="51"/>
      <c r="BT4" s="51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3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>
        <v>1</v>
      </c>
      <c r="DD4" s="54"/>
      <c r="DE4" s="55"/>
      <c r="DF4" s="56"/>
      <c r="DG4" s="56"/>
      <c r="DH4" s="56"/>
      <c r="DI4" s="56"/>
      <c r="DJ4" s="56"/>
      <c r="DK4" s="56"/>
      <c r="DL4" s="57"/>
      <c r="DM4" s="57"/>
      <c r="DN4" s="57"/>
      <c r="DO4" s="57"/>
      <c r="DP4" s="57"/>
      <c r="DQ4" s="57"/>
      <c r="DR4" s="57"/>
      <c r="DS4" s="57">
        <v>1</v>
      </c>
      <c r="DV4">
        <f>'Raciales Especiales'!B4</f>
        <v>2</v>
      </c>
      <c r="DW4">
        <v>10</v>
      </c>
    </row>
    <row r="5" spans="1:127" x14ac:dyDescent="0.25">
      <c r="A5" s="70" t="s">
        <v>157</v>
      </c>
      <c r="B5" s="18">
        <f t="shared" si="0"/>
        <v>13</v>
      </c>
      <c r="C5" s="13"/>
      <c r="D5" s="13"/>
      <c r="E5" s="13">
        <v>1</v>
      </c>
      <c r="F5" s="13"/>
      <c r="G5" s="13"/>
      <c r="H5" s="13">
        <v>1</v>
      </c>
      <c r="I5" s="13"/>
      <c r="J5" s="13">
        <v>1</v>
      </c>
      <c r="K5" s="14"/>
      <c r="L5" s="14"/>
      <c r="M5" s="14"/>
      <c r="N5" s="14"/>
      <c r="O5" s="14"/>
      <c r="P5" s="14"/>
      <c r="Q5" s="15"/>
      <c r="R5" s="15">
        <v>1</v>
      </c>
      <c r="S5" s="15"/>
      <c r="T5" s="16"/>
      <c r="U5" s="16"/>
      <c r="V5" s="16"/>
      <c r="W5" s="16"/>
      <c r="X5" s="17"/>
      <c r="Y5" s="17"/>
      <c r="Z5" s="20"/>
      <c r="AA5" s="24">
        <v>1</v>
      </c>
      <c r="AB5" s="24"/>
      <c r="AC5" s="24"/>
      <c r="AD5" s="24"/>
      <c r="AE5" s="26">
        <v>1</v>
      </c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>
        <v>1</v>
      </c>
      <c r="AQ5" s="48">
        <v>1</v>
      </c>
      <c r="AR5" s="48"/>
      <c r="AS5" s="48"/>
      <c r="AT5" s="48"/>
      <c r="AU5" s="48"/>
      <c r="AV5" s="48"/>
      <c r="AW5" s="49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3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5"/>
      <c r="DF5" s="56"/>
      <c r="DG5" s="56"/>
      <c r="DH5" s="56">
        <v>1</v>
      </c>
      <c r="DI5" s="56">
        <v>1</v>
      </c>
      <c r="DJ5" s="56"/>
      <c r="DK5" s="56">
        <v>1</v>
      </c>
      <c r="DL5" s="57"/>
      <c r="DM5" s="57"/>
      <c r="DN5" s="57"/>
      <c r="DO5" s="57"/>
      <c r="DP5" s="57"/>
      <c r="DQ5" s="57"/>
      <c r="DR5" s="57"/>
      <c r="DS5" s="57"/>
      <c r="DV5">
        <f>'Raciales Especiales'!B5</f>
        <v>2</v>
      </c>
      <c r="DW5">
        <v>10</v>
      </c>
    </row>
    <row r="6" spans="1:127" x14ac:dyDescent="0.25">
      <c r="A6" s="70" t="s">
        <v>158</v>
      </c>
      <c r="B6" s="18">
        <f t="shared" si="0"/>
        <v>13</v>
      </c>
      <c r="C6" s="13"/>
      <c r="D6" s="13">
        <v>1</v>
      </c>
      <c r="E6" s="13"/>
      <c r="F6" s="13"/>
      <c r="G6" s="13"/>
      <c r="H6" s="13">
        <v>1</v>
      </c>
      <c r="I6" s="13"/>
      <c r="J6" s="13"/>
      <c r="K6" s="14"/>
      <c r="L6" s="14"/>
      <c r="M6" s="14"/>
      <c r="N6" s="14"/>
      <c r="O6" s="14"/>
      <c r="P6" s="14"/>
      <c r="Q6" s="15"/>
      <c r="R6" s="15">
        <v>1</v>
      </c>
      <c r="S6" s="15"/>
      <c r="T6" s="16"/>
      <c r="U6" s="16"/>
      <c r="V6" s="16"/>
      <c r="W6" s="16">
        <v>1</v>
      </c>
      <c r="X6" s="17"/>
      <c r="Y6" s="17"/>
      <c r="Z6" s="20"/>
      <c r="AA6" s="24"/>
      <c r="AB6" s="24"/>
      <c r="AC6" s="24"/>
      <c r="AD6" s="24">
        <v>1</v>
      </c>
      <c r="AE6" s="26"/>
      <c r="AF6" s="48">
        <v>1</v>
      </c>
      <c r="AG6" s="48">
        <v>1</v>
      </c>
      <c r="AH6" s="48"/>
      <c r="AI6" s="48"/>
      <c r="AJ6" s="48"/>
      <c r="AK6" s="48"/>
      <c r="AL6" s="48"/>
      <c r="AM6" s="48">
        <v>1</v>
      </c>
      <c r="AN6" s="48"/>
      <c r="AO6" s="48"/>
      <c r="AP6" s="48"/>
      <c r="AQ6" s="48"/>
      <c r="AR6" s="48"/>
      <c r="AS6" s="48"/>
      <c r="AT6" s="48"/>
      <c r="AU6" s="48"/>
      <c r="AV6" s="48"/>
      <c r="AW6" s="49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1"/>
      <c r="BO6" s="51"/>
      <c r="BP6" s="51"/>
      <c r="BQ6" s="51"/>
      <c r="BR6" s="51"/>
      <c r="BS6" s="51"/>
      <c r="BT6" s="51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3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5"/>
      <c r="DF6" s="56">
        <v>1</v>
      </c>
      <c r="DG6" s="56"/>
      <c r="DH6" s="56"/>
      <c r="DI6" s="56"/>
      <c r="DJ6" s="56"/>
      <c r="DK6" s="56"/>
      <c r="DL6" s="57"/>
      <c r="DM6" s="57"/>
      <c r="DN6" s="57"/>
      <c r="DO6" s="57"/>
      <c r="DP6" s="57"/>
      <c r="DQ6" s="57"/>
      <c r="DR6" s="57">
        <v>1</v>
      </c>
      <c r="DS6" s="57"/>
      <c r="DV6">
        <f>'Raciales Especiales'!B6</f>
        <v>3</v>
      </c>
      <c r="DW6">
        <v>10</v>
      </c>
    </row>
    <row r="7" spans="1:127" x14ac:dyDescent="0.25">
      <c r="A7" s="70" t="s">
        <v>159</v>
      </c>
      <c r="B7" s="18">
        <f t="shared" si="0"/>
        <v>13</v>
      </c>
      <c r="C7" s="13">
        <v>1</v>
      </c>
      <c r="D7" s="13"/>
      <c r="E7" s="13"/>
      <c r="F7" s="13"/>
      <c r="G7" s="13"/>
      <c r="H7" s="13">
        <v>1</v>
      </c>
      <c r="I7" s="13"/>
      <c r="J7" s="13"/>
      <c r="K7" s="14"/>
      <c r="L7" s="14"/>
      <c r="M7" s="14"/>
      <c r="N7" s="14"/>
      <c r="O7" s="14"/>
      <c r="P7" s="14"/>
      <c r="Q7" s="15"/>
      <c r="R7" s="15">
        <v>1</v>
      </c>
      <c r="S7" s="15"/>
      <c r="T7" s="16"/>
      <c r="U7" s="16"/>
      <c r="V7" s="16"/>
      <c r="W7" s="16"/>
      <c r="X7" s="17"/>
      <c r="Y7" s="17"/>
      <c r="Z7" s="20"/>
      <c r="AA7" s="24"/>
      <c r="AB7" s="24"/>
      <c r="AC7" s="24">
        <v>1</v>
      </c>
      <c r="AD7" s="24"/>
      <c r="AE7" s="26"/>
      <c r="AF7" s="48">
        <v>1</v>
      </c>
      <c r="AG7" s="48">
        <v>1</v>
      </c>
      <c r="AH7" s="48"/>
      <c r="AI7" s="48"/>
      <c r="AJ7" s="48"/>
      <c r="AK7" s="48"/>
      <c r="AL7" s="48"/>
      <c r="AM7" s="48">
        <v>1</v>
      </c>
      <c r="AN7" s="48"/>
      <c r="AO7" s="48"/>
      <c r="AP7" s="48"/>
      <c r="AQ7" s="48"/>
      <c r="AR7" s="48"/>
      <c r="AS7" s="48"/>
      <c r="AT7" s="48"/>
      <c r="AU7" s="48"/>
      <c r="AV7" s="48"/>
      <c r="AW7" s="49">
        <v>1</v>
      </c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1"/>
      <c r="BO7" s="51"/>
      <c r="BP7" s="51"/>
      <c r="BQ7" s="51"/>
      <c r="BR7" s="51"/>
      <c r="BS7" s="51"/>
      <c r="BT7" s="51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3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>
        <v>1</v>
      </c>
      <c r="CY7" s="54"/>
      <c r="CZ7" s="54"/>
      <c r="DA7" s="54"/>
      <c r="DB7" s="54"/>
      <c r="DC7" s="54"/>
      <c r="DD7" s="54"/>
      <c r="DE7" s="55"/>
      <c r="DF7" s="56"/>
      <c r="DG7" s="56">
        <v>1</v>
      </c>
      <c r="DH7" s="56"/>
      <c r="DI7" s="56"/>
      <c r="DJ7" s="56"/>
      <c r="DK7" s="56"/>
      <c r="DL7" s="57"/>
      <c r="DM7" s="57"/>
      <c r="DN7" s="57"/>
      <c r="DO7" s="57"/>
      <c r="DP7" s="57"/>
      <c r="DQ7" s="57"/>
      <c r="DR7" s="57"/>
      <c r="DS7" s="57"/>
      <c r="DV7">
        <f>'Raciales Especiales'!B7</f>
        <v>3</v>
      </c>
      <c r="DW7">
        <v>10</v>
      </c>
    </row>
    <row r="8" spans="1:127" x14ac:dyDescent="0.25">
      <c r="A8" s="70" t="s">
        <v>160</v>
      </c>
      <c r="B8" s="18">
        <f t="shared" si="0"/>
        <v>13</v>
      </c>
      <c r="C8" s="13"/>
      <c r="D8" s="13">
        <v>1</v>
      </c>
      <c r="E8" s="13"/>
      <c r="F8" s="13"/>
      <c r="G8" s="13"/>
      <c r="H8" s="13">
        <v>1</v>
      </c>
      <c r="I8" s="13"/>
      <c r="J8" s="13"/>
      <c r="K8" s="14">
        <v>1</v>
      </c>
      <c r="L8" s="14"/>
      <c r="M8" s="14"/>
      <c r="N8" s="14">
        <v>1</v>
      </c>
      <c r="O8" s="14"/>
      <c r="P8" s="14"/>
      <c r="Q8" s="15"/>
      <c r="R8" s="15"/>
      <c r="S8" s="15"/>
      <c r="T8" s="16">
        <v>1</v>
      </c>
      <c r="U8" s="16"/>
      <c r="V8" s="16"/>
      <c r="W8" s="16"/>
      <c r="X8" s="17"/>
      <c r="Y8" s="17"/>
      <c r="Z8" s="20"/>
      <c r="AA8" s="24"/>
      <c r="AB8" s="24"/>
      <c r="AC8" s="24"/>
      <c r="AD8" s="24"/>
      <c r="AE8" s="26"/>
      <c r="AF8" s="48">
        <v>1</v>
      </c>
      <c r="AG8" s="48">
        <v>1</v>
      </c>
      <c r="AH8" s="48">
        <v>1</v>
      </c>
      <c r="AI8" s="48">
        <v>1</v>
      </c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9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1"/>
      <c r="BO8" s="51"/>
      <c r="BP8" s="51"/>
      <c r="BQ8" s="51"/>
      <c r="BR8" s="51"/>
      <c r="BS8" s="51"/>
      <c r="BT8" s="51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3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5"/>
      <c r="DF8" s="56"/>
      <c r="DG8" s="56"/>
      <c r="DH8" s="56"/>
      <c r="DI8" s="56"/>
      <c r="DJ8" s="56"/>
      <c r="DK8" s="56"/>
      <c r="DL8" s="57"/>
      <c r="DM8" s="57"/>
      <c r="DN8" s="57"/>
      <c r="DO8" s="57">
        <v>1</v>
      </c>
      <c r="DP8" s="57"/>
      <c r="DQ8" s="57"/>
      <c r="DR8" s="57"/>
      <c r="DS8" s="57"/>
      <c r="DV8">
        <f>'Raciales Especiales'!B8</f>
        <v>3</v>
      </c>
      <c r="DW8">
        <v>10</v>
      </c>
    </row>
    <row r="9" spans="1:127" x14ac:dyDescent="0.25">
      <c r="A9" s="71" t="s">
        <v>161</v>
      </c>
      <c r="B9" s="18">
        <f t="shared" si="0"/>
        <v>13</v>
      </c>
      <c r="C9" s="13">
        <v>1</v>
      </c>
      <c r="D9" s="13"/>
      <c r="E9" s="13"/>
      <c r="F9" s="13"/>
      <c r="G9" s="13"/>
      <c r="H9" s="13"/>
      <c r="I9" s="13">
        <v>1</v>
      </c>
      <c r="J9" s="13"/>
      <c r="K9" s="14"/>
      <c r="L9" s="14"/>
      <c r="M9" s="14"/>
      <c r="N9" s="14"/>
      <c r="O9" s="14"/>
      <c r="P9" s="14">
        <v>1</v>
      </c>
      <c r="Q9" s="15"/>
      <c r="R9" s="15"/>
      <c r="S9" s="15"/>
      <c r="T9" s="16"/>
      <c r="U9" s="16"/>
      <c r="V9" s="16"/>
      <c r="W9" s="16"/>
      <c r="X9" s="17"/>
      <c r="Y9" s="17"/>
      <c r="Z9" s="20"/>
      <c r="AA9" s="24"/>
      <c r="AB9" s="24"/>
      <c r="AC9" s="24"/>
      <c r="AD9" s="24"/>
      <c r="AE9" s="26"/>
      <c r="AF9" s="48"/>
      <c r="AG9" s="48"/>
      <c r="AH9" s="48"/>
      <c r="AI9" s="48"/>
      <c r="AJ9" s="48">
        <v>1</v>
      </c>
      <c r="AK9" s="48">
        <v>1</v>
      </c>
      <c r="AL9" s="48"/>
      <c r="AM9" s="48">
        <v>1</v>
      </c>
      <c r="AN9" s="48"/>
      <c r="AO9" s="48"/>
      <c r="AP9" s="48"/>
      <c r="AQ9" s="48"/>
      <c r="AR9" s="48"/>
      <c r="AS9" s="48"/>
      <c r="AT9" s="48"/>
      <c r="AU9" s="48"/>
      <c r="AV9" s="48"/>
      <c r="AW9" s="49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1"/>
      <c r="BO9" s="51"/>
      <c r="BP9" s="51"/>
      <c r="BQ9" s="51"/>
      <c r="BR9" s="51"/>
      <c r="BS9" s="51"/>
      <c r="BT9" s="51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3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>
        <v>1</v>
      </c>
      <c r="CZ9" s="54"/>
      <c r="DA9" s="54"/>
      <c r="DB9" s="54"/>
      <c r="DC9" s="54"/>
      <c r="DD9" s="54"/>
      <c r="DE9" s="55"/>
      <c r="DF9" s="56"/>
      <c r="DG9" s="56"/>
      <c r="DH9" s="56">
        <v>1</v>
      </c>
      <c r="DI9" s="56"/>
      <c r="DJ9" s="56"/>
      <c r="DK9" s="56"/>
      <c r="DL9" s="57">
        <v>1</v>
      </c>
      <c r="DM9" s="57"/>
      <c r="DN9" s="57"/>
      <c r="DO9" s="57">
        <v>1</v>
      </c>
      <c r="DP9" s="57"/>
      <c r="DQ9" s="57"/>
      <c r="DR9" s="57"/>
      <c r="DS9" s="57"/>
      <c r="DU9">
        <v>1</v>
      </c>
      <c r="DV9">
        <f>'Raciales Especiales'!B9</f>
        <v>2</v>
      </c>
      <c r="DW9">
        <v>8</v>
      </c>
    </row>
    <row r="10" spans="1:127" x14ac:dyDescent="0.25">
      <c r="A10" s="71" t="s">
        <v>162</v>
      </c>
      <c r="B10" s="18">
        <f t="shared" si="0"/>
        <v>13</v>
      </c>
      <c r="C10" s="13">
        <v>1</v>
      </c>
      <c r="D10" s="13"/>
      <c r="E10" s="13"/>
      <c r="F10" s="13"/>
      <c r="G10" s="13"/>
      <c r="H10" s="13"/>
      <c r="I10" s="13"/>
      <c r="J10" s="13">
        <v>1</v>
      </c>
      <c r="K10" s="14"/>
      <c r="L10" s="14"/>
      <c r="M10" s="14"/>
      <c r="N10" s="14"/>
      <c r="O10" s="14"/>
      <c r="P10" s="14"/>
      <c r="Q10" s="15"/>
      <c r="R10" s="15"/>
      <c r="S10" s="15"/>
      <c r="T10" s="16"/>
      <c r="U10" s="16">
        <v>1</v>
      </c>
      <c r="V10" s="16"/>
      <c r="W10" s="16"/>
      <c r="X10" s="17"/>
      <c r="Y10" s="17"/>
      <c r="Z10" s="20"/>
      <c r="AA10" s="24"/>
      <c r="AB10" s="24"/>
      <c r="AC10" s="24">
        <v>1</v>
      </c>
      <c r="AD10" s="24"/>
      <c r="AE10" s="26"/>
      <c r="AF10" s="48"/>
      <c r="AG10" s="48"/>
      <c r="AH10" s="48">
        <v>1</v>
      </c>
      <c r="AI10" s="48">
        <v>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9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1"/>
      <c r="BO10" s="51"/>
      <c r="BP10" s="51"/>
      <c r="BQ10" s="51"/>
      <c r="BR10" s="51"/>
      <c r="BS10" s="51"/>
      <c r="BT10" s="51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3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5"/>
      <c r="DF10" s="56">
        <v>1</v>
      </c>
      <c r="DG10" s="56"/>
      <c r="DH10" s="56"/>
      <c r="DI10" s="56"/>
      <c r="DJ10" s="56"/>
      <c r="DK10" s="56"/>
      <c r="DL10" s="57">
        <v>1</v>
      </c>
      <c r="DM10" s="57"/>
      <c r="DN10" s="57"/>
      <c r="DO10" s="57"/>
      <c r="DP10" s="57"/>
      <c r="DQ10" s="57"/>
      <c r="DR10" s="57">
        <v>1</v>
      </c>
      <c r="DS10" s="57"/>
      <c r="DT10">
        <v>1</v>
      </c>
      <c r="DV10">
        <f>'Raciales Especiales'!B10</f>
        <v>3</v>
      </c>
      <c r="DW10">
        <v>8</v>
      </c>
    </row>
    <row r="11" spans="1:127" x14ac:dyDescent="0.25">
      <c r="A11" s="71" t="s">
        <v>163</v>
      </c>
      <c r="B11" s="18">
        <f t="shared" si="0"/>
        <v>13</v>
      </c>
      <c r="C11" s="13">
        <v>1</v>
      </c>
      <c r="D11" s="13"/>
      <c r="E11" s="13"/>
      <c r="F11" s="13"/>
      <c r="G11" s="13"/>
      <c r="H11" s="13"/>
      <c r="I11" s="13"/>
      <c r="J11" s="13"/>
      <c r="K11" s="14"/>
      <c r="L11" s="14"/>
      <c r="M11" s="14"/>
      <c r="N11" s="14"/>
      <c r="O11" s="14"/>
      <c r="P11" s="14">
        <v>1</v>
      </c>
      <c r="Q11" s="15"/>
      <c r="R11" s="15"/>
      <c r="S11" s="15"/>
      <c r="T11" s="16"/>
      <c r="U11" s="16"/>
      <c r="V11" s="16"/>
      <c r="W11" s="16"/>
      <c r="X11" s="17"/>
      <c r="Y11" s="17"/>
      <c r="Z11" s="20"/>
      <c r="AA11" s="24"/>
      <c r="AB11" s="24"/>
      <c r="AC11" s="24"/>
      <c r="AD11" s="24"/>
      <c r="AE11" s="26"/>
      <c r="AF11" s="48"/>
      <c r="AG11" s="48"/>
      <c r="AH11" s="48">
        <v>1</v>
      </c>
      <c r="AI11" s="48">
        <v>1</v>
      </c>
      <c r="AJ11" s="48">
        <v>1</v>
      </c>
      <c r="AK11" s="48">
        <v>1</v>
      </c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9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1"/>
      <c r="BO11" s="51"/>
      <c r="BP11" s="51"/>
      <c r="BQ11" s="51"/>
      <c r="BR11" s="51"/>
      <c r="BS11" s="51"/>
      <c r="BT11" s="51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3"/>
      <c r="CM11" s="54"/>
      <c r="CN11" s="54"/>
      <c r="CO11" s="54"/>
      <c r="CP11" s="54"/>
      <c r="CQ11" s="54"/>
      <c r="CR11" s="54"/>
      <c r="CS11" s="54">
        <v>1</v>
      </c>
      <c r="CT11" s="54"/>
      <c r="CU11" s="54"/>
      <c r="CV11" s="54"/>
      <c r="CW11" s="54"/>
      <c r="CX11" s="54"/>
      <c r="CY11" s="54">
        <v>1</v>
      </c>
      <c r="CZ11" s="54"/>
      <c r="DA11" s="54"/>
      <c r="DB11" s="54"/>
      <c r="DC11" s="54"/>
      <c r="DD11" s="54"/>
      <c r="DE11" s="55"/>
      <c r="DF11" s="56"/>
      <c r="DG11" s="56"/>
      <c r="DH11" s="56"/>
      <c r="DI11" s="56"/>
      <c r="DJ11" s="56"/>
      <c r="DK11" s="56"/>
      <c r="DL11" s="57">
        <v>1</v>
      </c>
      <c r="DM11" s="57"/>
      <c r="DN11" s="57">
        <v>1</v>
      </c>
      <c r="DO11" s="57"/>
      <c r="DP11" s="57"/>
      <c r="DQ11" s="57"/>
      <c r="DR11" s="57"/>
      <c r="DS11" s="57"/>
      <c r="DU11">
        <v>1</v>
      </c>
      <c r="DV11">
        <f>'Raciales Especiales'!B11</f>
        <v>2</v>
      </c>
      <c r="DW11">
        <v>8</v>
      </c>
    </row>
    <row r="12" spans="1:127" x14ac:dyDescent="0.25">
      <c r="A12" s="72" t="s">
        <v>164</v>
      </c>
      <c r="B12" s="18">
        <f t="shared" si="0"/>
        <v>13</v>
      </c>
      <c r="C12" s="13"/>
      <c r="D12" s="13">
        <v>1</v>
      </c>
      <c r="E12" s="13">
        <v>1</v>
      </c>
      <c r="F12" s="13"/>
      <c r="G12" s="13">
        <v>1</v>
      </c>
      <c r="H12" s="13"/>
      <c r="I12" s="13"/>
      <c r="J12" s="13">
        <v>1</v>
      </c>
      <c r="K12" s="14"/>
      <c r="L12" s="14">
        <v>1</v>
      </c>
      <c r="M12" s="14"/>
      <c r="N12" s="14"/>
      <c r="O12" s="14"/>
      <c r="P12" s="14"/>
      <c r="Q12" s="15"/>
      <c r="R12" s="15">
        <v>1</v>
      </c>
      <c r="S12" s="15"/>
      <c r="T12" s="16"/>
      <c r="U12" s="16"/>
      <c r="V12" s="16"/>
      <c r="W12" s="16"/>
      <c r="X12" s="17"/>
      <c r="Y12" s="17">
        <v>1</v>
      </c>
      <c r="Z12" s="20"/>
      <c r="AA12" s="24"/>
      <c r="AB12" s="24"/>
      <c r="AC12" s="24"/>
      <c r="AD12" s="24"/>
      <c r="AE12" s="26"/>
      <c r="AF12" s="48"/>
      <c r="AG12" s="48"/>
      <c r="AH12" s="48"/>
      <c r="AI12" s="48"/>
      <c r="AJ12" s="48"/>
      <c r="AK12" s="48"/>
      <c r="AL12" s="48"/>
      <c r="AM12" s="48">
        <v>1</v>
      </c>
      <c r="AN12" s="48"/>
      <c r="AO12" s="48"/>
      <c r="AP12" s="48"/>
      <c r="AQ12" s="48"/>
      <c r="AR12" s="48"/>
      <c r="AS12" s="48"/>
      <c r="AT12" s="48"/>
      <c r="AU12" s="48"/>
      <c r="AV12" s="48"/>
      <c r="AW12" s="49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1"/>
      <c r="BO12" s="51"/>
      <c r="BP12" s="51"/>
      <c r="BQ12" s="51"/>
      <c r="BR12" s="51"/>
      <c r="BS12" s="51"/>
      <c r="BT12" s="51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3"/>
      <c r="CM12" s="54"/>
      <c r="CN12" s="54"/>
      <c r="CO12" s="54"/>
      <c r="CP12" s="54"/>
      <c r="CQ12" s="54"/>
      <c r="CR12" s="54"/>
      <c r="CS12" s="54"/>
      <c r="CT12" s="54"/>
      <c r="CU12" s="54">
        <v>1</v>
      </c>
      <c r="CV12" s="54"/>
      <c r="CW12" s="54"/>
      <c r="CX12" s="54"/>
      <c r="CY12" s="54"/>
      <c r="CZ12" s="54"/>
      <c r="DA12" s="54"/>
      <c r="DB12" s="54"/>
      <c r="DC12" s="54"/>
      <c r="DD12" s="54"/>
      <c r="DE12" s="55"/>
      <c r="DF12" s="56"/>
      <c r="DG12" s="56"/>
      <c r="DH12" s="56"/>
      <c r="DI12" s="56"/>
      <c r="DJ12" s="56"/>
      <c r="DK12" s="56">
        <v>1</v>
      </c>
      <c r="DL12" s="57"/>
      <c r="DM12" s="57"/>
      <c r="DN12" s="57"/>
      <c r="DO12" s="57">
        <v>1</v>
      </c>
      <c r="DP12" s="57"/>
      <c r="DQ12" s="57"/>
      <c r="DR12" s="57"/>
      <c r="DS12" s="57"/>
      <c r="DU12">
        <v>1</v>
      </c>
      <c r="DV12">
        <f>'Raciales Especiales'!B12</f>
        <v>1</v>
      </c>
      <c r="DW12">
        <v>6</v>
      </c>
    </row>
    <row r="13" spans="1:127" x14ac:dyDescent="0.25">
      <c r="A13" s="72" t="s">
        <v>235</v>
      </c>
      <c r="B13" s="18">
        <f t="shared" si="0"/>
        <v>13</v>
      </c>
      <c r="C13" s="13"/>
      <c r="D13" s="13">
        <v>1</v>
      </c>
      <c r="E13" s="13">
        <v>1</v>
      </c>
      <c r="F13" s="13"/>
      <c r="G13" s="13"/>
      <c r="H13" s="13"/>
      <c r="I13" s="13"/>
      <c r="J13" s="13">
        <v>1</v>
      </c>
      <c r="K13" s="14"/>
      <c r="L13" s="14"/>
      <c r="M13" s="14"/>
      <c r="N13" s="14"/>
      <c r="O13" s="14"/>
      <c r="P13" s="14"/>
      <c r="Q13" s="15"/>
      <c r="R13" s="15">
        <v>1</v>
      </c>
      <c r="S13" s="15"/>
      <c r="T13" s="16"/>
      <c r="U13" s="16"/>
      <c r="V13" s="16"/>
      <c r="W13" s="16"/>
      <c r="X13" s="17"/>
      <c r="Y13" s="17">
        <v>1</v>
      </c>
      <c r="Z13" s="20"/>
      <c r="AA13" s="24"/>
      <c r="AB13" s="24"/>
      <c r="AC13" s="24"/>
      <c r="AD13" s="24"/>
      <c r="AE13" s="26"/>
      <c r="AF13" s="48"/>
      <c r="AG13" s="48"/>
      <c r="AH13" s="48"/>
      <c r="AI13" s="48"/>
      <c r="AJ13" s="48"/>
      <c r="AK13" s="48"/>
      <c r="AL13" s="48"/>
      <c r="AM13" s="48">
        <v>1</v>
      </c>
      <c r="AN13" s="48"/>
      <c r="AO13" s="48"/>
      <c r="AP13" s="48"/>
      <c r="AQ13" s="48"/>
      <c r="AR13" s="48"/>
      <c r="AS13" s="48"/>
      <c r="AT13" s="48"/>
      <c r="AU13" s="48"/>
      <c r="AV13" s="48"/>
      <c r="AW13" s="49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1"/>
      <c r="BO13" s="51"/>
      <c r="BP13" s="51"/>
      <c r="BQ13" s="51"/>
      <c r="BR13" s="51"/>
      <c r="BS13" s="51"/>
      <c r="BT13" s="51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3"/>
      <c r="CM13" s="54"/>
      <c r="CN13" s="54"/>
      <c r="CO13" s="54"/>
      <c r="CP13" s="54"/>
      <c r="CQ13" s="54"/>
      <c r="CR13" s="54"/>
      <c r="CS13" s="54"/>
      <c r="CT13" s="54"/>
      <c r="CU13" s="54">
        <v>1</v>
      </c>
      <c r="CV13" s="54"/>
      <c r="CW13" s="54"/>
      <c r="CX13" s="54"/>
      <c r="CY13" s="54"/>
      <c r="CZ13" s="54"/>
      <c r="DA13" s="54"/>
      <c r="DB13" s="54"/>
      <c r="DC13" s="54"/>
      <c r="DD13" s="54"/>
      <c r="DE13" s="55"/>
      <c r="DF13" s="56"/>
      <c r="DG13" s="56"/>
      <c r="DH13" s="56"/>
      <c r="DI13" s="56"/>
      <c r="DJ13" s="56"/>
      <c r="DK13" s="56">
        <v>1</v>
      </c>
      <c r="DL13" s="57"/>
      <c r="DM13" s="57"/>
      <c r="DN13" s="57">
        <v>1</v>
      </c>
      <c r="DO13" s="57"/>
      <c r="DP13" s="57"/>
      <c r="DQ13" s="57"/>
      <c r="DR13" s="57"/>
      <c r="DS13" s="57"/>
      <c r="DU13">
        <v>1</v>
      </c>
      <c r="DV13">
        <f>'Raciales Especiales'!B13</f>
        <v>3</v>
      </c>
      <c r="DW13">
        <v>6</v>
      </c>
    </row>
    <row r="14" spans="1:127" x14ac:dyDescent="0.25">
      <c r="A14" s="73" t="s">
        <v>165</v>
      </c>
      <c r="B14" s="18">
        <f t="shared" si="0"/>
        <v>13</v>
      </c>
      <c r="C14" s="13"/>
      <c r="D14" s="13">
        <v>1</v>
      </c>
      <c r="E14" s="13"/>
      <c r="F14" s="13"/>
      <c r="G14" s="13"/>
      <c r="H14" s="13"/>
      <c r="I14" s="13"/>
      <c r="J14" s="13"/>
      <c r="K14" s="14">
        <v>1</v>
      </c>
      <c r="L14" s="14"/>
      <c r="M14" s="14"/>
      <c r="N14" s="14">
        <v>1</v>
      </c>
      <c r="O14" s="14">
        <v>1</v>
      </c>
      <c r="P14" s="14"/>
      <c r="Q14" s="15"/>
      <c r="R14" s="15"/>
      <c r="S14" s="15"/>
      <c r="T14" s="16"/>
      <c r="U14" s="16">
        <v>1</v>
      </c>
      <c r="V14" s="16"/>
      <c r="W14" s="16"/>
      <c r="X14" s="17"/>
      <c r="Y14" s="17">
        <v>1</v>
      </c>
      <c r="Z14" s="20"/>
      <c r="AA14" s="24"/>
      <c r="AB14" s="24"/>
      <c r="AC14" s="24"/>
      <c r="AD14" s="24">
        <v>1</v>
      </c>
      <c r="AE14" s="26"/>
      <c r="AF14" s="48">
        <v>1</v>
      </c>
      <c r="AG14" s="48"/>
      <c r="AH14" s="48"/>
      <c r="AI14" s="48"/>
      <c r="AJ14" s="48"/>
      <c r="AK14" s="48"/>
      <c r="AL14" s="48">
        <v>1</v>
      </c>
      <c r="AM14" s="48"/>
      <c r="AN14" s="48"/>
      <c r="AO14" s="48"/>
      <c r="AP14" s="48"/>
      <c r="AQ14" s="48"/>
      <c r="AR14" s="48"/>
      <c r="AS14" s="48"/>
      <c r="AT14" s="48"/>
      <c r="AU14" s="48">
        <v>1</v>
      </c>
      <c r="AV14" s="48"/>
      <c r="AW14" s="49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1"/>
      <c r="BO14" s="51"/>
      <c r="BP14" s="51"/>
      <c r="BQ14" s="51"/>
      <c r="BR14" s="51"/>
      <c r="BS14" s="51"/>
      <c r="BT14" s="51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3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5"/>
      <c r="DF14" s="56"/>
      <c r="DG14" s="56"/>
      <c r="DH14" s="56"/>
      <c r="DI14" s="56"/>
      <c r="DJ14" s="56"/>
      <c r="DK14" s="56"/>
      <c r="DL14" s="57"/>
      <c r="DM14" s="57"/>
      <c r="DN14" s="57"/>
      <c r="DO14" s="57"/>
      <c r="DP14" s="57"/>
      <c r="DQ14" s="57"/>
      <c r="DR14" s="57">
        <v>1</v>
      </c>
      <c r="DS14" s="57"/>
      <c r="DU14">
        <v>1</v>
      </c>
      <c r="DV14">
        <f>'Raciales Especiales'!B14</f>
        <v>1</v>
      </c>
      <c r="DW14">
        <v>12</v>
      </c>
    </row>
    <row r="15" spans="1:127" x14ac:dyDescent="0.25">
      <c r="A15" s="73" t="s">
        <v>166</v>
      </c>
      <c r="B15" s="18">
        <f t="shared" si="0"/>
        <v>13</v>
      </c>
      <c r="C15" s="13"/>
      <c r="D15" s="13">
        <v>1</v>
      </c>
      <c r="E15" s="13">
        <v>1</v>
      </c>
      <c r="F15" s="13"/>
      <c r="G15" s="13"/>
      <c r="H15" s="13">
        <v>1</v>
      </c>
      <c r="I15" s="13"/>
      <c r="J15" s="13"/>
      <c r="K15" s="14"/>
      <c r="L15" s="14"/>
      <c r="M15" s="14"/>
      <c r="N15" s="14"/>
      <c r="O15" s="14"/>
      <c r="P15" s="14"/>
      <c r="Q15" s="15"/>
      <c r="R15" s="15">
        <v>1</v>
      </c>
      <c r="S15" s="15">
        <v>1</v>
      </c>
      <c r="T15" s="16"/>
      <c r="U15" s="16"/>
      <c r="V15" s="16"/>
      <c r="W15" s="16">
        <v>1</v>
      </c>
      <c r="X15" s="17"/>
      <c r="Y15" s="17"/>
      <c r="Z15" s="20"/>
      <c r="AA15" s="24">
        <v>1</v>
      </c>
      <c r="AB15" s="24"/>
      <c r="AC15" s="24"/>
      <c r="AD15" s="24"/>
      <c r="AE15" s="26">
        <v>1</v>
      </c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>
        <v>1</v>
      </c>
      <c r="AQ15" s="48">
        <v>1</v>
      </c>
      <c r="AR15" s="48"/>
      <c r="AS15" s="48"/>
      <c r="AT15" s="48"/>
      <c r="AU15" s="48"/>
      <c r="AV15" s="48"/>
      <c r="AW15" s="49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1"/>
      <c r="BO15" s="51"/>
      <c r="BP15" s="51"/>
      <c r="BQ15" s="51"/>
      <c r="BR15" s="51"/>
      <c r="BS15" s="51"/>
      <c r="BT15" s="51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3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5"/>
      <c r="DF15" s="56"/>
      <c r="DG15" s="56"/>
      <c r="DH15" s="56"/>
      <c r="DI15" s="56"/>
      <c r="DJ15" s="56"/>
      <c r="DK15" s="56">
        <v>1</v>
      </c>
      <c r="DL15" s="57"/>
      <c r="DM15" s="57">
        <v>1</v>
      </c>
      <c r="DN15" s="57"/>
      <c r="DO15" s="57"/>
      <c r="DP15" s="57"/>
      <c r="DQ15" s="57"/>
      <c r="DR15" s="57"/>
      <c r="DS15" s="57"/>
      <c r="DU15">
        <v>1</v>
      </c>
      <c r="DV15">
        <f>'Raciales Especiales'!B15</f>
        <v>0</v>
      </c>
      <c r="DW15">
        <v>12</v>
      </c>
    </row>
    <row r="16" spans="1:127" x14ac:dyDescent="0.25">
      <c r="A16" s="74" t="s">
        <v>0</v>
      </c>
      <c r="B16" s="18">
        <f t="shared" si="0"/>
        <v>13</v>
      </c>
      <c r="C16" s="13"/>
      <c r="D16" s="13">
        <v>1</v>
      </c>
      <c r="E16" s="13">
        <v>1</v>
      </c>
      <c r="F16" s="13"/>
      <c r="G16" s="13"/>
      <c r="H16" s="13">
        <v>1</v>
      </c>
      <c r="I16" s="13"/>
      <c r="J16" s="13">
        <v>1</v>
      </c>
      <c r="K16" s="14"/>
      <c r="L16" s="14"/>
      <c r="M16" s="14"/>
      <c r="N16" s="14"/>
      <c r="O16" s="14"/>
      <c r="P16" s="14"/>
      <c r="Q16" s="15"/>
      <c r="R16" s="15">
        <v>1</v>
      </c>
      <c r="S16" s="15"/>
      <c r="T16" s="16"/>
      <c r="U16" s="16"/>
      <c r="V16" s="16"/>
      <c r="W16" s="16">
        <v>1</v>
      </c>
      <c r="X16" s="17"/>
      <c r="Y16" s="17"/>
      <c r="Z16" s="20"/>
      <c r="AA16" s="24">
        <v>1</v>
      </c>
      <c r="AB16" s="24">
        <v>1</v>
      </c>
      <c r="AC16" s="24"/>
      <c r="AD16" s="24"/>
      <c r="AE16" s="26">
        <v>1</v>
      </c>
      <c r="AF16" s="48">
        <v>1</v>
      </c>
      <c r="AG16" s="48"/>
      <c r="AH16" s="48"/>
      <c r="AI16" s="48"/>
      <c r="AJ16" s="48"/>
      <c r="AK16" s="48"/>
      <c r="AL16" s="48"/>
      <c r="AM16" s="48"/>
      <c r="AN16" s="48"/>
      <c r="AO16" s="48"/>
      <c r="AP16" s="48">
        <v>1</v>
      </c>
      <c r="AQ16" s="48"/>
      <c r="AR16" s="48"/>
      <c r="AS16" s="48"/>
      <c r="AT16" s="48"/>
      <c r="AU16" s="48"/>
      <c r="AV16" s="48"/>
      <c r="AW16" s="49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1"/>
      <c r="BO16" s="51"/>
      <c r="BP16" s="51"/>
      <c r="BQ16" s="51"/>
      <c r="BR16" s="51"/>
      <c r="BS16" s="51"/>
      <c r="BT16" s="51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3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5"/>
      <c r="DF16" s="56"/>
      <c r="DG16" s="56"/>
      <c r="DH16" s="56"/>
      <c r="DI16" s="56"/>
      <c r="DJ16" s="56"/>
      <c r="DK16" s="56"/>
      <c r="DL16" s="57"/>
      <c r="DM16" s="57"/>
      <c r="DN16" s="57"/>
      <c r="DO16" s="57"/>
      <c r="DP16" s="57"/>
      <c r="DQ16" s="57"/>
      <c r="DR16" s="57"/>
      <c r="DS16" s="57"/>
      <c r="DT16">
        <v>1</v>
      </c>
      <c r="DV16">
        <f>'Raciales Especiales'!B16</f>
        <v>1</v>
      </c>
      <c r="DW16">
        <v>10</v>
      </c>
    </row>
    <row r="17" spans="1:127" x14ac:dyDescent="0.25">
      <c r="A17" s="75" t="s">
        <v>167</v>
      </c>
      <c r="B17" s="18">
        <f t="shared" si="0"/>
        <v>13</v>
      </c>
      <c r="C17" s="13">
        <v>1</v>
      </c>
      <c r="D17" s="13"/>
      <c r="E17" s="13"/>
      <c r="F17" s="13">
        <v>1</v>
      </c>
      <c r="G17" s="13"/>
      <c r="H17" s="13"/>
      <c r="I17" s="13">
        <v>1</v>
      </c>
      <c r="J17" s="13"/>
      <c r="K17" s="14"/>
      <c r="L17" s="14"/>
      <c r="M17" s="14"/>
      <c r="N17" s="14"/>
      <c r="O17" s="14"/>
      <c r="P17" s="14"/>
      <c r="Q17" s="15"/>
      <c r="R17" s="15"/>
      <c r="S17" s="15"/>
      <c r="T17" s="16"/>
      <c r="U17" s="16"/>
      <c r="V17" s="16"/>
      <c r="W17" s="16">
        <v>1</v>
      </c>
      <c r="X17" s="17"/>
      <c r="Y17" s="17"/>
      <c r="Z17" s="20"/>
      <c r="AA17" s="24"/>
      <c r="AB17" s="24">
        <v>1</v>
      </c>
      <c r="AC17" s="24"/>
      <c r="AD17" s="24"/>
      <c r="AE17" s="26"/>
      <c r="AF17" s="48"/>
      <c r="AG17" s="48"/>
      <c r="AH17" s="48">
        <v>1</v>
      </c>
      <c r="AI17" s="48">
        <v>1</v>
      </c>
      <c r="AJ17" s="48"/>
      <c r="AK17" s="48"/>
      <c r="AL17" s="48"/>
      <c r="AM17" s="48">
        <v>1</v>
      </c>
      <c r="AN17" s="48"/>
      <c r="AO17" s="48"/>
      <c r="AP17" s="48"/>
      <c r="AQ17" s="48"/>
      <c r="AR17" s="48"/>
      <c r="AS17" s="48"/>
      <c r="AT17" s="48"/>
      <c r="AU17" s="48"/>
      <c r="AV17" s="48">
        <v>1</v>
      </c>
      <c r="AW17" s="49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1"/>
      <c r="BO17" s="51"/>
      <c r="BP17" s="51"/>
      <c r="BQ17" s="51"/>
      <c r="BR17" s="51"/>
      <c r="BS17" s="51"/>
      <c r="BT17" s="51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3"/>
      <c r="CM17" s="54"/>
      <c r="CN17" s="54"/>
      <c r="CO17" s="54"/>
      <c r="CP17" s="54"/>
      <c r="CQ17" s="54"/>
      <c r="CR17" s="54"/>
      <c r="CS17" s="54"/>
      <c r="CT17" s="54"/>
      <c r="CU17" s="54"/>
      <c r="CV17" s="54">
        <v>1</v>
      </c>
      <c r="CW17" s="54"/>
      <c r="CX17" s="54"/>
      <c r="CY17" s="54"/>
      <c r="CZ17" s="54"/>
      <c r="DA17" s="54"/>
      <c r="DB17" s="54"/>
      <c r="DC17" s="54"/>
      <c r="DD17" s="54"/>
      <c r="DE17" s="55"/>
      <c r="DF17" s="56"/>
      <c r="DG17" s="56"/>
      <c r="DH17" s="56"/>
      <c r="DI17" s="56"/>
      <c r="DJ17" s="56"/>
      <c r="DK17" s="56"/>
      <c r="DL17" s="57"/>
      <c r="DM17" s="57"/>
      <c r="DN17" s="57"/>
      <c r="DO17" s="57"/>
      <c r="DP17" s="57"/>
      <c r="DQ17" s="57"/>
      <c r="DR17" s="57"/>
      <c r="DS17" s="57"/>
      <c r="DU17">
        <v>1</v>
      </c>
      <c r="DV17">
        <f>'Raciales Especiales'!B17</f>
        <v>2</v>
      </c>
      <c r="DW17">
        <v>12</v>
      </c>
    </row>
    <row r="18" spans="1:127" x14ac:dyDescent="0.25">
      <c r="A18" s="75" t="s">
        <v>168</v>
      </c>
      <c r="B18" s="18">
        <f t="shared" si="0"/>
        <v>14</v>
      </c>
      <c r="C18" s="13">
        <v>1</v>
      </c>
      <c r="D18" s="13"/>
      <c r="E18" s="13"/>
      <c r="F18" s="13"/>
      <c r="G18" s="13"/>
      <c r="H18" s="13"/>
      <c r="I18" s="13">
        <v>1</v>
      </c>
      <c r="J18" s="13"/>
      <c r="K18" s="14"/>
      <c r="L18" s="14"/>
      <c r="M18" s="14"/>
      <c r="N18" s="14"/>
      <c r="O18" s="14"/>
      <c r="P18" s="14"/>
      <c r="Q18" s="15">
        <v>1</v>
      </c>
      <c r="R18" s="15"/>
      <c r="S18" s="15"/>
      <c r="T18" s="16"/>
      <c r="U18" s="16"/>
      <c r="V18" s="16"/>
      <c r="W18" s="16"/>
      <c r="X18" s="17"/>
      <c r="Y18" s="17"/>
      <c r="Z18" s="20"/>
      <c r="AA18" s="24"/>
      <c r="AB18" s="24">
        <v>1</v>
      </c>
      <c r="AC18" s="24"/>
      <c r="AD18" s="24"/>
      <c r="AE18" s="26"/>
      <c r="AF18" s="48">
        <v>1</v>
      </c>
      <c r="AG18" s="48">
        <v>1</v>
      </c>
      <c r="AH18" s="48">
        <v>1</v>
      </c>
      <c r="AI18" s="48">
        <v>1</v>
      </c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9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1"/>
      <c r="BO18" s="51"/>
      <c r="BP18" s="51"/>
      <c r="BQ18" s="51"/>
      <c r="BR18" s="51"/>
      <c r="BS18" s="51"/>
      <c r="BT18" s="51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3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5"/>
      <c r="DF18" s="56"/>
      <c r="DG18" s="56"/>
      <c r="DH18" s="56"/>
      <c r="DI18" s="56"/>
      <c r="DJ18" s="56"/>
      <c r="DK18" s="56"/>
      <c r="DL18" s="57"/>
      <c r="DM18" s="57"/>
      <c r="DN18" s="57"/>
      <c r="DO18" s="57"/>
      <c r="DP18" s="57"/>
      <c r="DQ18" s="57"/>
      <c r="DR18" s="57"/>
      <c r="DS18" s="57">
        <v>1</v>
      </c>
      <c r="DU18">
        <v>1</v>
      </c>
      <c r="DV18">
        <f>'Raciales Especiales'!B18</f>
        <v>4</v>
      </c>
      <c r="DW18">
        <v>12</v>
      </c>
    </row>
    <row r="19" spans="1:127" x14ac:dyDescent="0.25">
      <c r="A19" s="75" t="s">
        <v>1</v>
      </c>
      <c r="B19" s="18">
        <f t="shared" si="0"/>
        <v>12</v>
      </c>
      <c r="C19" s="13">
        <v>1</v>
      </c>
      <c r="D19" s="13"/>
      <c r="E19" s="13"/>
      <c r="F19" s="13"/>
      <c r="G19" s="13"/>
      <c r="H19" s="13">
        <v>-1</v>
      </c>
      <c r="I19" s="13"/>
      <c r="J19" s="13"/>
      <c r="K19" s="14"/>
      <c r="L19" s="14"/>
      <c r="M19" s="14"/>
      <c r="N19" s="14"/>
      <c r="O19" s="14"/>
      <c r="P19" s="14"/>
      <c r="Q19" s="15"/>
      <c r="R19" s="15"/>
      <c r="S19" s="15"/>
      <c r="T19" s="16">
        <v>1</v>
      </c>
      <c r="U19" s="16"/>
      <c r="V19" s="16">
        <v>1</v>
      </c>
      <c r="W19" s="16"/>
      <c r="X19" s="17"/>
      <c r="Y19" s="17"/>
      <c r="Z19" s="20"/>
      <c r="AA19" s="24"/>
      <c r="AB19" s="24"/>
      <c r="AC19" s="24"/>
      <c r="AD19" s="24"/>
      <c r="AE19" s="26">
        <v>1</v>
      </c>
      <c r="AF19" s="48"/>
      <c r="AG19" s="48">
        <v>1</v>
      </c>
      <c r="AH19" s="48"/>
      <c r="AI19" s="48">
        <v>1</v>
      </c>
      <c r="AJ19" s="48"/>
      <c r="AK19" s="48"/>
      <c r="AL19" s="48"/>
      <c r="AM19" s="48"/>
      <c r="AN19" s="48"/>
      <c r="AO19" s="48"/>
      <c r="AP19" s="48">
        <v>1</v>
      </c>
      <c r="AQ19" s="48"/>
      <c r="AR19" s="48"/>
      <c r="AS19" s="48"/>
      <c r="AT19" s="48"/>
      <c r="AU19" s="48"/>
      <c r="AV19" s="48"/>
      <c r="AW19" s="49"/>
      <c r="AX19" s="50"/>
      <c r="AY19" s="50"/>
      <c r="AZ19" s="50"/>
      <c r="BA19" s="50"/>
      <c r="BB19" s="50"/>
      <c r="BC19" s="50">
        <v>1</v>
      </c>
      <c r="BD19" s="50">
        <v>1</v>
      </c>
      <c r="BF19" s="50">
        <v>1</v>
      </c>
      <c r="BG19" s="50"/>
      <c r="BH19" s="50"/>
      <c r="BI19" s="50"/>
      <c r="BJ19" s="50"/>
      <c r="BK19" s="50"/>
      <c r="BL19" s="50"/>
      <c r="BM19" s="50"/>
      <c r="BN19" s="51"/>
      <c r="BO19" s="51"/>
      <c r="BP19" s="51"/>
      <c r="BQ19" s="51"/>
      <c r="BR19" s="51"/>
      <c r="BS19" s="51"/>
      <c r="BT19" s="51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3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5"/>
      <c r="DF19" s="56"/>
      <c r="DG19" s="56"/>
      <c r="DH19" s="56"/>
      <c r="DI19" s="56"/>
      <c r="DJ19" s="56"/>
      <c r="DK19" s="56"/>
      <c r="DL19" s="57"/>
      <c r="DM19" s="57"/>
      <c r="DN19" s="57"/>
      <c r="DO19" s="57"/>
      <c r="DP19" s="57">
        <v>1</v>
      </c>
      <c r="DQ19" s="57"/>
      <c r="DR19" s="57"/>
      <c r="DS19" s="57"/>
      <c r="DU19">
        <v>1</v>
      </c>
      <c r="DV19">
        <f>'Raciales Especiales'!B19</f>
        <v>1</v>
      </c>
      <c r="DW19">
        <v>12</v>
      </c>
    </row>
    <row r="20" spans="1:127" x14ac:dyDescent="0.25">
      <c r="A20" s="76" t="s">
        <v>2</v>
      </c>
      <c r="B20" s="18">
        <f t="shared" si="0"/>
        <v>10</v>
      </c>
      <c r="C20" s="13">
        <v>2</v>
      </c>
      <c r="D20" s="13"/>
      <c r="E20" s="13"/>
      <c r="F20" s="13"/>
      <c r="G20" s="13">
        <v>1</v>
      </c>
      <c r="H20" s="13">
        <v>-3</v>
      </c>
      <c r="I20" s="13"/>
      <c r="J20" s="13"/>
      <c r="K20" s="14">
        <v>1</v>
      </c>
      <c r="L20" s="14">
        <v>1</v>
      </c>
      <c r="M20" s="14"/>
      <c r="N20" s="14"/>
      <c r="O20" s="14"/>
      <c r="P20" s="14"/>
      <c r="Q20" s="15"/>
      <c r="R20" s="15"/>
      <c r="S20" s="15"/>
      <c r="T20" s="16"/>
      <c r="U20" s="16"/>
      <c r="V20" s="16">
        <v>1</v>
      </c>
      <c r="W20" s="16"/>
      <c r="X20" s="17"/>
      <c r="Y20" s="17">
        <v>1</v>
      </c>
      <c r="Z20" s="20"/>
      <c r="AA20" s="24"/>
      <c r="AB20" s="24"/>
      <c r="AC20" s="24"/>
      <c r="AD20" s="24">
        <v>1</v>
      </c>
      <c r="AE20" s="26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>
        <v>1</v>
      </c>
      <c r="AT20" s="48"/>
      <c r="AU20" s="48"/>
      <c r="AV20" s="48"/>
      <c r="AW20" s="49">
        <v>1</v>
      </c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1"/>
      <c r="BO20" s="51"/>
      <c r="BP20" s="51"/>
      <c r="BQ20" s="51"/>
      <c r="BR20" s="51"/>
      <c r="BS20" s="51"/>
      <c r="BT20" s="51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3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5"/>
      <c r="DF20" s="56"/>
      <c r="DG20" s="56"/>
      <c r="DH20" s="56"/>
      <c r="DI20" s="56"/>
      <c r="DJ20" s="56"/>
      <c r="DK20" s="56"/>
      <c r="DL20" s="57"/>
      <c r="DM20" s="57"/>
      <c r="DN20" s="57"/>
      <c r="DO20" s="57"/>
      <c r="DP20" s="57"/>
      <c r="DQ20" s="57">
        <v>1</v>
      </c>
      <c r="DR20" s="57">
        <v>1</v>
      </c>
      <c r="DS20" s="57"/>
      <c r="DU20">
        <v>1</v>
      </c>
      <c r="DV20">
        <f>'Raciales Especiales'!B20</f>
        <v>0</v>
      </c>
      <c r="DW20">
        <v>14</v>
      </c>
    </row>
    <row r="21" spans="1:127" x14ac:dyDescent="0.25">
      <c r="A21" s="77" t="s">
        <v>3</v>
      </c>
      <c r="B21" s="18">
        <f t="shared" si="0"/>
        <v>12</v>
      </c>
      <c r="C21" s="13"/>
      <c r="D21" s="13"/>
      <c r="E21" s="13"/>
      <c r="F21" s="13">
        <v>1</v>
      </c>
      <c r="G21" s="13"/>
      <c r="H21" s="13"/>
      <c r="I21" s="13"/>
      <c r="J21" s="13"/>
      <c r="K21" s="14"/>
      <c r="L21" s="14"/>
      <c r="M21" s="14"/>
      <c r="N21" s="14"/>
      <c r="O21" s="14">
        <v>1</v>
      </c>
      <c r="P21" s="14"/>
      <c r="Q21" s="15"/>
      <c r="R21" s="15"/>
      <c r="S21" s="15"/>
      <c r="T21" s="16"/>
      <c r="U21" s="16"/>
      <c r="V21" s="16"/>
      <c r="W21" s="16"/>
      <c r="X21" s="17"/>
      <c r="Y21" s="17"/>
      <c r="Z21" s="20"/>
      <c r="AA21" s="24">
        <v>1</v>
      </c>
      <c r="AB21" s="24"/>
      <c r="AC21" s="24"/>
      <c r="AD21" s="24"/>
      <c r="AE21" s="26">
        <v>1</v>
      </c>
      <c r="AF21" s="48">
        <v>1</v>
      </c>
      <c r="AG21" s="48"/>
      <c r="AH21" s="48"/>
      <c r="AI21" s="48"/>
      <c r="AJ21" s="48"/>
      <c r="AK21" s="48"/>
      <c r="AL21" s="48">
        <v>1</v>
      </c>
      <c r="AM21" s="48"/>
      <c r="AN21" s="48"/>
      <c r="AO21" s="48"/>
      <c r="AP21" s="48">
        <v>1</v>
      </c>
      <c r="AQ21" s="48"/>
      <c r="AR21" s="48"/>
      <c r="AS21" s="48"/>
      <c r="AT21" s="48"/>
      <c r="AU21" s="48"/>
      <c r="AV21" s="48"/>
      <c r="AW21" s="49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1"/>
      <c r="BO21" s="51"/>
      <c r="BP21" s="51"/>
      <c r="BQ21" s="51"/>
      <c r="BR21" s="51"/>
      <c r="BS21" s="51"/>
      <c r="BT21" s="51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3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5"/>
      <c r="DF21" s="56"/>
      <c r="DG21" s="56"/>
      <c r="DH21" s="56"/>
      <c r="DI21" s="56"/>
      <c r="DJ21" s="56"/>
      <c r="DK21" s="56"/>
      <c r="DL21" s="57"/>
      <c r="DM21" s="57">
        <v>1</v>
      </c>
      <c r="DN21" s="57"/>
      <c r="DO21" s="57"/>
      <c r="DP21" s="57"/>
      <c r="DQ21" s="57">
        <v>1</v>
      </c>
      <c r="DR21" s="57"/>
      <c r="DS21" s="57"/>
      <c r="DU21">
        <v>1</v>
      </c>
      <c r="DV21">
        <f>'Raciales Especiales'!B21</f>
        <v>2</v>
      </c>
      <c r="DW21">
        <v>10</v>
      </c>
    </row>
    <row r="22" spans="1:127" x14ac:dyDescent="0.25">
      <c r="A22" s="78" t="s">
        <v>169</v>
      </c>
      <c r="B22" s="18">
        <f t="shared" si="0"/>
        <v>14</v>
      </c>
      <c r="C22" s="13">
        <v>1</v>
      </c>
      <c r="D22" s="13"/>
      <c r="E22" s="13"/>
      <c r="F22" s="13"/>
      <c r="G22" s="13"/>
      <c r="H22" s="13"/>
      <c r="I22" s="13">
        <v>1</v>
      </c>
      <c r="J22" s="13">
        <v>1</v>
      </c>
      <c r="K22" s="14">
        <v>1</v>
      </c>
      <c r="L22" s="14"/>
      <c r="M22" s="14"/>
      <c r="N22" s="14">
        <v>1</v>
      </c>
      <c r="O22" s="14"/>
      <c r="P22" s="14"/>
      <c r="Q22" s="15">
        <v>1</v>
      </c>
      <c r="R22" s="15"/>
      <c r="S22" s="15"/>
      <c r="T22" s="16"/>
      <c r="U22" s="16"/>
      <c r="V22" s="16">
        <v>1</v>
      </c>
      <c r="W22" s="16"/>
      <c r="X22" s="17">
        <v>1</v>
      </c>
      <c r="Y22" s="17"/>
      <c r="Z22" s="20"/>
      <c r="AA22" s="24"/>
      <c r="AB22" s="24"/>
      <c r="AC22" s="24">
        <v>1</v>
      </c>
      <c r="AD22" s="24"/>
      <c r="AE22" s="26">
        <v>1</v>
      </c>
      <c r="AF22" s="48"/>
      <c r="AG22" s="48"/>
      <c r="AH22" s="48"/>
      <c r="AI22" s="48"/>
      <c r="AJ22" s="48">
        <v>1</v>
      </c>
      <c r="AK22" s="48">
        <v>1</v>
      </c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9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1"/>
      <c r="BO22" s="51"/>
      <c r="BP22" s="51"/>
      <c r="BQ22" s="51"/>
      <c r="BR22" s="51"/>
      <c r="BS22" s="51"/>
      <c r="BT22" s="51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3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5"/>
      <c r="DF22" s="56"/>
      <c r="DG22" s="56"/>
      <c r="DH22" s="56"/>
      <c r="DI22" s="56"/>
      <c r="DJ22" s="56"/>
      <c r="DK22" s="56"/>
      <c r="DL22" s="57">
        <v>1</v>
      </c>
      <c r="DM22" s="57"/>
      <c r="DN22" s="57"/>
      <c r="DO22" s="57"/>
      <c r="DP22" s="57"/>
      <c r="DQ22" s="57"/>
      <c r="DR22" s="57"/>
      <c r="DS22" s="57"/>
      <c r="DV22">
        <f>'Raciales Especiales'!B22</f>
        <v>1</v>
      </c>
      <c r="DW22">
        <v>10</v>
      </c>
    </row>
    <row r="23" spans="1:127" x14ac:dyDescent="0.25">
      <c r="A23" s="78" t="s">
        <v>170</v>
      </c>
      <c r="B23" s="18">
        <f t="shared" si="0"/>
        <v>14</v>
      </c>
      <c r="C23" s="13">
        <v>1</v>
      </c>
      <c r="D23" s="13"/>
      <c r="E23" s="13"/>
      <c r="F23" s="13"/>
      <c r="G23" s="13"/>
      <c r="H23" s="13"/>
      <c r="I23" s="13">
        <v>1</v>
      </c>
      <c r="J23" s="13">
        <v>1</v>
      </c>
      <c r="K23" s="14">
        <v>1</v>
      </c>
      <c r="L23" s="14"/>
      <c r="M23" s="14"/>
      <c r="N23" s="14">
        <v>1</v>
      </c>
      <c r="O23" s="14"/>
      <c r="P23" s="14"/>
      <c r="Q23" s="15"/>
      <c r="R23" s="15"/>
      <c r="S23" s="15"/>
      <c r="T23" s="16"/>
      <c r="U23" s="16">
        <v>1</v>
      </c>
      <c r="V23" s="16">
        <v>1</v>
      </c>
      <c r="W23" s="16"/>
      <c r="X23" s="17">
        <v>1</v>
      </c>
      <c r="Y23" s="17"/>
      <c r="Z23" s="20"/>
      <c r="AA23" s="24"/>
      <c r="AB23" s="24"/>
      <c r="AC23" s="24">
        <v>1</v>
      </c>
      <c r="AD23" s="24"/>
      <c r="AE23" s="26"/>
      <c r="AF23" s="48"/>
      <c r="AG23" s="48"/>
      <c r="AH23" s="48"/>
      <c r="AI23" s="48"/>
      <c r="AJ23" s="48">
        <v>1</v>
      </c>
      <c r="AK23" s="48">
        <v>1</v>
      </c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9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1"/>
      <c r="BO23" s="51"/>
      <c r="BP23" s="51"/>
      <c r="BQ23" s="51"/>
      <c r="BR23" s="51"/>
      <c r="BS23" s="51"/>
      <c r="BT23" s="51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3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5"/>
      <c r="DF23" s="56">
        <v>1</v>
      </c>
      <c r="DG23" s="56"/>
      <c r="DH23" s="56"/>
      <c r="DI23" s="56"/>
      <c r="DJ23" s="56"/>
      <c r="DK23" s="56"/>
      <c r="DL23" s="57">
        <v>1</v>
      </c>
      <c r="DM23" s="57"/>
      <c r="DN23" s="57"/>
      <c r="DO23" s="57"/>
      <c r="DP23" s="57"/>
      <c r="DQ23" s="57"/>
      <c r="DR23" s="57"/>
      <c r="DS23" s="57"/>
      <c r="DV23">
        <f>'Raciales Especiales'!B23</f>
        <v>1</v>
      </c>
      <c r="DW23">
        <v>10</v>
      </c>
    </row>
    <row r="24" spans="1:127" x14ac:dyDescent="0.25">
      <c r="A24" s="72" t="s">
        <v>171</v>
      </c>
      <c r="B24" s="18">
        <f t="shared" si="0"/>
        <v>14</v>
      </c>
      <c r="C24" s="13"/>
      <c r="D24" s="13">
        <v>1</v>
      </c>
      <c r="E24" s="13"/>
      <c r="F24" s="13"/>
      <c r="G24" s="13">
        <v>1</v>
      </c>
      <c r="H24" s="13"/>
      <c r="I24" s="13"/>
      <c r="J24" s="13"/>
      <c r="K24" s="14">
        <v>1</v>
      </c>
      <c r="L24" s="14"/>
      <c r="M24" s="14"/>
      <c r="N24" s="14"/>
      <c r="O24" s="14">
        <v>1</v>
      </c>
      <c r="P24" s="14"/>
      <c r="Q24" s="15"/>
      <c r="R24" s="15"/>
      <c r="S24" s="15"/>
      <c r="T24" s="16"/>
      <c r="U24" s="16"/>
      <c r="V24" s="16"/>
      <c r="W24" s="16"/>
      <c r="X24" s="17"/>
      <c r="Y24" s="17">
        <v>1</v>
      </c>
      <c r="Z24" s="20"/>
      <c r="AA24" s="24"/>
      <c r="AB24" s="24"/>
      <c r="AC24" s="24">
        <v>1</v>
      </c>
      <c r="AD24" s="24"/>
      <c r="AE24" s="26"/>
      <c r="AF24" s="48"/>
      <c r="AG24" s="48"/>
      <c r="AH24" s="48"/>
      <c r="AI24" s="48"/>
      <c r="AJ24" s="48"/>
      <c r="AK24" s="48"/>
      <c r="AL24" s="49"/>
      <c r="AM24" s="48"/>
      <c r="AN24" s="85">
        <v>1</v>
      </c>
      <c r="AO24" s="48"/>
      <c r="AP24" s="48"/>
      <c r="AQ24" s="48"/>
      <c r="AR24" s="48"/>
      <c r="AS24" s="48"/>
      <c r="AT24" s="48">
        <v>1</v>
      </c>
      <c r="AU24" s="48">
        <v>1</v>
      </c>
      <c r="AV24" s="48"/>
      <c r="AW24" s="49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1"/>
      <c r="BO24" s="51"/>
      <c r="BP24" s="51"/>
      <c r="BQ24" s="51"/>
      <c r="BR24" s="51"/>
      <c r="BS24" s="51"/>
      <c r="BT24" s="51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3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5"/>
      <c r="DF24" s="56"/>
      <c r="DG24" s="56"/>
      <c r="DH24" s="56"/>
      <c r="DI24" s="56"/>
      <c r="DJ24" s="56"/>
      <c r="DK24" s="56">
        <v>1</v>
      </c>
      <c r="DL24" s="57"/>
      <c r="DM24" s="57"/>
      <c r="DN24" s="57"/>
      <c r="DO24" s="57"/>
      <c r="DP24" s="57"/>
      <c r="DQ24" s="57">
        <v>1</v>
      </c>
      <c r="DR24" s="57"/>
      <c r="DS24" s="57"/>
      <c r="DV24">
        <f>'Raciales Especiales'!B24</f>
        <v>3</v>
      </c>
      <c r="DW24">
        <v>12</v>
      </c>
    </row>
    <row r="25" spans="1:127" x14ac:dyDescent="0.25">
      <c r="A25" s="72" t="s">
        <v>172</v>
      </c>
      <c r="B25" s="18">
        <f t="shared" si="0"/>
        <v>14</v>
      </c>
      <c r="C25" s="13"/>
      <c r="D25" s="13">
        <v>1</v>
      </c>
      <c r="E25" s="13"/>
      <c r="F25" s="13">
        <v>1</v>
      </c>
      <c r="G25" s="13"/>
      <c r="H25" s="13">
        <v>1</v>
      </c>
      <c r="I25" s="13"/>
      <c r="J25" s="13"/>
      <c r="K25" s="14"/>
      <c r="L25" s="14"/>
      <c r="M25" s="14"/>
      <c r="N25" s="14"/>
      <c r="O25" s="14"/>
      <c r="P25" s="14"/>
      <c r="Q25" s="15"/>
      <c r="R25" s="15"/>
      <c r="S25" s="15"/>
      <c r="T25" s="16"/>
      <c r="U25" s="16">
        <v>1</v>
      </c>
      <c r="V25" s="16"/>
      <c r="W25" s="16"/>
      <c r="X25" s="17">
        <v>1</v>
      </c>
      <c r="Y25" s="17"/>
      <c r="Z25" s="20"/>
      <c r="AA25" s="24"/>
      <c r="AB25" s="24">
        <v>1</v>
      </c>
      <c r="AC25" s="24">
        <v>1</v>
      </c>
      <c r="AD25" s="24"/>
      <c r="AE25" s="26"/>
      <c r="AF25" s="48">
        <v>1</v>
      </c>
      <c r="AG25" s="48"/>
      <c r="AH25" s="48"/>
      <c r="AI25" s="48"/>
      <c r="AJ25" s="48"/>
      <c r="AK25" s="48"/>
      <c r="AL25" s="49"/>
      <c r="AM25" s="48"/>
      <c r="AN25" s="85"/>
      <c r="AO25" s="48"/>
      <c r="AP25" s="48"/>
      <c r="AQ25" s="48"/>
      <c r="AR25" s="48"/>
      <c r="AS25" s="48"/>
      <c r="AT25" s="48">
        <v>1</v>
      </c>
      <c r="AU25" s="48"/>
      <c r="AV25" s="48">
        <v>1</v>
      </c>
      <c r="AW25" s="49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1"/>
      <c r="BO25" s="51"/>
      <c r="BP25" s="51"/>
      <c r="BQ25" s="51"/>
      <c r="BR25" s="51"/>
      <c r="BS25" s="51"/>
      <c r="BT25" s="51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3"/>
      <c r="CM25" s="54"/>
      <c r="CN25" s="54"/>
      <c r="CO25" s="54"/>
      <c r="CP25" s="54"/>
      <c r="CQ25" s="54"/>
      <c r="CR25" s="54"/>
      <c r="CS25" s="54"/>
      <c r="CT25" s="54"/>
      <c r="CU25" s="54"/>
      <c r="CV25" s="54"/>
      <c r="CW25" s="54"/>
      <c r="CX25" s="54"/>
      <c r="CY25" s="54"/>
      <c r="CZ25" s="54"/>
      <c r="DA25" s="54"/>
      <c r="DB25" s="54"/>
      <c r="DC25" s="54"/>
      <c r="DD25" s="54"/>
      <c r="DE25" s="55"/>
      <c r="DF25" s="56"/>
      <c r="DG25" s="56"/>
      <c r="DH25" s="56"/>
      <c r="DI25" s="56"/>
      <c r="DJ25" s="56"/>
      <c r="DK25" s="56">
        <v>1</v>
      </c>
      <c r="DL25" s="57"/>
      <c r="DM25" s="57"/>
      <c r="DN25" s="57"/>
      <c r="DO25" s="57"/>
      <c r="DP25" s="57"/>
      <c r="DQ25" s="57"/>
      <c r="DR25" s="57"/>
      <c r="DS25" s="57">
        <v>1</v>
      </c>
      <c r="DV25">
        <f>'Raciales Especiales'!B25</f>
        <v>2</v>
      </c>
      <c r="DW25">
        <v>12</v>
      </c>
    </row>
    <row r="26" spans="1:127" x14ac:dyDescent="0.25">
      <c r="A26" s="72" t="s">
        <v>173</v>
      </c>
      <c r="B26" s="18">
        <f t="shared" si="0"/>
        <v>13</v>
      </c>
      <c r="C26" s="13"/>
      <c r="D26" s="13">
        <v>1</v>
      </c>
      <c r="E26" s="13"/>
      <c r="F26" s="13"/>
      <c r="G26" s="13"/>
      <c r="H26" s="13"/>
      <c r="I26" s="13">
        <v>1</v>
      </c>
      <c r="J26" s="13">
        <v>1</v>
      </c>
      <c r="K26" s="14">
        <v>1</v>
      </c>
      <c r="L26" s="14">
        <v>1</v>
      </c>
      <c r="M26" s="14"/>
      <c r="N26" s="14">
        <v>1</v>
      </c>
      <c r="O26" s="14"/>
      <c r="P26" s="14"/>
      <c r="Q26" s="15"/>
      <c r="R26" s="15"/>
      <c r="S26" s="15"/>
      <c r="T26" s="16"/>
      <c r="U26" s="16"/>
      <c r="V26" s="16"/>
      <c r="W26" s="16"/>
      <c r="X26" s="17"/>
      <c r="Y26" s="17">
        <v>1</v>
      </c>
      <c r="Z26" s="20"/>
      <c r="AA26" s="24"/>
      <c r="AB26" s="24"/>
      <c r="AC26" s="24">
        <v>1</v>
      </c>
      <c r="AD26" s="24"/>
      <c r="AE26" s="26"/>
      <c r="AF26" s="48">
        <v>1</v>
      </c>
      <c r="AG26" s="48"/>
      <c r="AH26" s="48"/>
      <c r="AI26" s="48"/>
      <c r="AJ26" s="48"/>
      <c r="AK26" s="48"/>
      <c r="AL26" s="49"/>
      <c r="AM26" s="48"/>
      <c r="AN26" s="85">
        <v>1</v>
      </c>
      <c r="AO26" s="48"/>
      <c r="AP26" s="48"/>
      <c r="AQ26" s="48"/>
      <c r="AR26" s="48">
        <v>1</v>
      </c>
      <c r="AS26" s="48"/>
      <c r="AT26" s="48"/>
      <c r="AU26" s="48"/>
      <c r="AV26" s="48"/>
      <c r="AW26" s="49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1"/>
      <c r="BO26" s="51"/>
      <c r="BP26" s="51"/>
      <c r="BQ26" s="51"/>
      <c r="BR26" s="51"/>
      <c r="BS26" s="51"/>
      <c r="BT26" s="51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3"/>
      <c r="CM26" s="54"/>
      <c r="CN26" s="54"/>
      <c r="CO26" s="54"/>
      <c r="CP26" s="54"/>
      <c r="CQ26" s="54"/>
      <c r="CR26" s="54"/>
      <c r="CS26" s="54"/>
      <c r="CT26" s="54"/>
      <c r="CU26" s="54"/>
      <c r="CV26" s="54"/>
      <c r="CW26" s="54"/>
      <c r="CX26" s="54"/>
      <c r="CY26" s="54"/>
      <c r="CZ26" s="54"/>
      <c r="DA26" s="54"/>
      <c r="DB26" s="54"/>
      <c r="DC26" s="54"/>
      <c r="DD26" s="54"/>
      <c r="DE26" s="55"/>
      <c r="DF26" s="56"/>
      <c r="DG26" s="56"/>
      <c r="DH26" s="56"/>
      <c r="DI26" s="56"/>
      <c r="DJ26" s="56"/>
      <c r="DK26" s="56"/>
      <c r="DL26" s="57"/>
      <c r="DM26" s="57"/>
      <c r="DN26" s="57">
        <v>1</v>
      </c>
      <c r="DO26" s="57"/>
      <c r="DP26" s="57"/>
      <c r="DQ26" s="57"/>
      <c r="DR26" s="57"/>
      <c r="DS26" s="57"/>
      <c r="DV26">
        <f>'Raciales Especiales'!B26</f>
        <v>1</v>
      </c>
      <c r="DW26">
        <v>12</v>
      </c>
    </row>
    <row r="27" spans="1:127" x14ac:dyDescent="0.25">
      <c r="A27" s="72" t="s">
        <v>174</v>
      </c>
      <c r="B27" s="18">
        <f t="shared" si="0"/>
        <v>14</v>
      </c>
      <c r="C27" s="13"/>
      <c r="D27" s="13"/>
      <c r="E27" s="13"/>
      <c r="F27" s="13"/>
      <c r="G27" s="13">
        <v>1</v>
      </c>
      <c r="H27" s="13"/>
      <c r="I27" s="13">
        <v>1</v>
      </c>
      <c r="J27" s="13"/>
      <c r="K27" s="14">
        <v>1</v>
      </c>
      <c r="L27" s="14"/>
      <c r="M27" s="14"/>
      <c r="N27" s="14"/>
      <c r="O27" s="14">
        <v>1</v>
      </c>
      <c r="P27" s="14">
        <v>1</v>
      </c>
      <c r="Q27" s="15">
        <v>1</v>
      </c>
      <c r="R27" s="15"/>
      <c r="S27" s="15"/>
      <c r="T27" s="16"/>
      <c r="U27" s="16"/>
      <c r="V27" s="16"/>
      <c r="W27" s="16"/>
      <c r="X27" s="17"/>
      <c r="Y27" s="17">
        <v>1</v>
      </c>
      <c r="Z27" s="20"/>
      <c r="AA27" s="24"/>
      <c r="AB27" s="24"/>
      <c r="AC27" s="24">
        <v>1</v>
      </c>
      <c r="AD27" s="24"/>
      <c r="AE27" s="26"/>
      <c r="AF27" s="48"/>
      <c r="AG27" s="48"/>
      <c r="AH27" s="48">
        <v>1</v>
      </c>
      <c r="AI27" s="48"/>
      <c r="AJ27" s="48">
        <v>1</v>
      </c>
      <c r="AK27" s="48"/>
      <c r="AL27" s="49">
        <v>1</v>
      </c>
      <c r="AM27" s="48"/>
      <c r="AN27" s="85">
        <v>1</v>
      </c>
      <c r="AO27" s="48"/>
      <c r="AP27" s="48"/>
      <c r="AQ27" s="48"/>
      <c r="AR27" s="48"/>
      <c r="AS27" s="48"/>
      <c r="AT27" s="48"/>
      <c r="AU27" s="48"/>
      <c r="AV27" s="48"/>
      <c r="AW27" s="49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1"/>
      <c r="BO27" s="51"/>
      <c r="BP27" s="51"/>
      <c r="BQ27" s="51"/>
      <c r="BR27" s="51"/>
      <c r="BS27" s="51"/>
      <c r="BT27" s="51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3"/>
      <c r="CM27" s="54"/>
      <c r="CN27" s="54"/>
      <c r="CO27" s="54"/>
      <c r="CP27" s="54"/>
      <c r="CQ27" s="54"/>
      <c r="CR27" s="54"/>
      <c r="CS27" s="54"/>
      <c r="CT27" s="54"/>
      <c r="CU27" s="54"/>
      <c r="CV27" s="54"/>
      <c r="CW27" s="54"/>
      <c r="CX27" s="54"/>
      <c r="CY27" s="54"/>
      <c r="CZ27" s="54"/>
      <c r="DA27" s="54"/>
      <c r="DB27" s="54"/>
      <c r="DC27" s="54"/>
      <c r="DD27" s="54"/>
      <c r="DE27" s="55"/>
      <c r="DF27" s="56"/>
      <c r="DG27" s="56"/>
      <c r="DH27" s="56"/>
      <c r="DI27" s="56"/>
      <c r="DJ27" s="56"/>
      <c r="DK27" s="56"/>
      <c r="DL27" s="57"/>
      <c r="DM27" s="57"/>
      <c r="DN27" s="57"/>
      <c r="DO27" s="57"/>
      <c r="DP27" s="57"/>
      <c r="DQ27" s="57">
        <v>1</v>
      </c>
      <c r="DR27" s="57"/>
      <c r="DS27" s="57"/>
      <c r="DV27">
        <f>'Raciales Especiales'!B27</f>
        <v>1</v>
      </c>
      <c r="DW27">
        <v>12</v>
      </c>
    </row>
    <row r="28" spans="1:127" x14ac:dyDescent="0.25">
      <c r="A28" s="72" t="s">
        <v>175</v>
      </c>
      <c r="B28" s="18">
        <f t="shared" si="0"/>
        <v>14</v>
      </c>
      <c r="C28" s="13">
        <v>1</v>
      </c>
      <c r="D28" s="13"/>
      <c r="E28" s="13">
        <v>1</v>
      </c>
      <c r="F28" s="13"/>
      <c r="G28" s="13">
        <v>1</v>
      </c>
      <c r="H28" s="13"/>
      <c r="I28" s="13"/>
      <c r="J28" s="13"/>
      <c r="K28" s="14"/>
      <c r="L28" s="14"/>
      <c r="M28" s="14"/>
      <c r="N28" s="14"/>
      <c r="O28" s="14">
        <v>1</v>
      </c>
      <c r="P28" s="14"/>
      <c r="Q28" s="15">
        <v>1</v>
      </c>
      <c r="R28" s="15"/>
      <c r="S28" s="15"/>
      <c r="T28" s="16"/>
      <c r="U28" s="16"/>
      <c r="V28" s="16"/>
      <c r="W28" s="16"/>
      <c r="X28" s="17"/>
      <c r="Y28" s="17"/>
      <c r="Z28" s="20"/>
      <c r="AA28" s="24"/>
      <c r="AB28" s="24"/>
      <c r="AC28" s="24">
        <v>1</v>
      </c>
      <c r="AD28" s="24"/>
      <c r="AE28" s="26"/>
      <c r="AF28" s="48"/>
      <c r="AG28" s="48"/>
      <c r="AH28" s="48">
        <v>1</v>
      </c>
      <c r="AI28" s="48"/>
      <c r="AJ28" s="48">
        <v>1</v>
      </c>
      <c r="AK28" s="48"/>
      <c r="AL28" s="49">
        <v>1</v>
      </c>
      <c r="AM28" s="48"/>
      <c r="AN28" s="85">
        <v>1</v>
      </c>
      <c r="AO28" s="48"/>
      <c r="AP28" s="48"/>
      <c r="AQ28" s="48"/>
      <c r="AR28" s="48"/>
      <c r="AS28" s="48"/>
      <c r="AT28" s="48"/>
      <c r="AU28" s="48"/>
      <c r="AV28" s="48"/>
      <c r="AW28" s="49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1"/>
      <c r="BO28" s="51"/>
      <c r="BP28" s="51"/>
      <c r="BQ28" s="51"/>
      <c r="BR28" s="51"/>
      <c r="BS28" s="51"/>
      <c r="BT28" s="51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3"/>
      <c r="CM28" s="54"/>
      <c r="CN28" s="54"/>
      <c r="CO28" s="54">
        <v>1</v>
      </c>
      <c r="CP28" s="54"/>
      <c r="CQ28" s="54"/>
      <c r="CR28" s="54"/>
      <c r="CS28" s="54"/>
      <c r="CT28" s="54"/>
      <c r="CU28" s="54"/>
      <c r="CV28" s="54"/>
      <c r="CW28" s="54"/>
      <c r="CX28" s="54"/>
      <c r="CY28" s="54">
        <v>1</v>
      </c>
      <c r="CZ28" s="54"/>
      <c r="DA28" s="54"/>
      <c r="DB28" s="54"/>
      <c r="DC28" s="54"/>
      <c r="DD28" s="54"/>
      <c r="DE28" s="55"/>
      <c r="DF28" s="56"/>
      <c r="DG28" s="56"/>
      <c r="DH28" s="56"/>
      <c r="DI28" s="56"/>
      <c r="DJ28" s="56"/>
      <c r="DK28" s="56"/>
      <c r="DL28" s="57"/>
      <c r="DM28" s="57"/>
      <c r="DN28" s="57"/>
      <c r="DO28" s="57"/>
      <c r="DP28" s="57"/>
      <c r="DQ28" s="57">
        <v>1</v>
      </c>
      <c r="DR28" s="57"/>
      <c r="DS28" s="57"/>
      <c r="DV28">
        <f>'Raciales Especiales'!B28</f>
        <v>1</v>
      </c>
      <c r="DW28">
        <v>12</v>
      </c>
    </row>
    <row r="29" spans="1:127" x14ac:dyDescent="0.25">
      <c r="A29" s="72" t="s">
        <v>176</v>
      </c>
      <c r="B29" s="18">
        <f t="shared" si="0"/>
        <v>13</v>
      </c>
      <c r="C29" s="13">
        <v>1</v>
      </c>
      <c r="D29" s="13"/>
      <c r="E29" s="13"/>
      <c r="F29" s="13"/>
      <c r="G29" s="13"/>
      <c r="H29" s="13"/>
      <c r="I29" s="13">
        <v>1</v>
      </c>
      <c r="J29" s="13"/>
      <c r="K29" s="14"/>
      <c r="L29" s="14"/>
      <c r="M29" s="14"/>
      <c r="N29" s="14">
        <v>1</v>
      </c>
      <c r="O29" s="14"/>
      <c r="P29" s="14"/>
      <c r="Q29" s="15"/>
      <c r="R29" s="15"/>
      <c r="S29" s="15"/>
      <c r="T29" s="16"/>
      <c r="U29" s="16"/>
      <c r="V29" s="16">
        <v>1</v>
      </c>
      <c r="W29" s="16"/>
      <c r="X29" s="17"/>
      <c r="Y29" s="17"/>
      <c r="Z29" s="20"/>
      <c r="AA29" s="24"/>
      <c r="AB29" s="24"/>
      <c r="AC29" s="22">
        <v>1</v>
      </c>
      <c r="AE29" s="26"/>
      <c r="AF29" s="48"/>
      <c r="AG29" s="48"/>
      <c r="AH29" s="48">
        <v>1</v>
      </c>
      <c r="AJ29" s="48">
        <v>1</v>
      </c>
      <c r="AK29" s="48"/>
      <c r="AL29" s="49">
        <v>1</v>
      </c>
      <c r="AN29" s="85">
        <v>1</v>
      </c>
      <c r="AO29" s="48"/>
      <c r="AP29" s="48"/>
      <c r="AQ29" s="48"/>
      <c r="AR29" s="48"/>
      <c r="AS29" s="48"/>
      <c r="AT29" s="48"/>
      <c r="AU29" s="48"/>
      <c r="AV29" s="48"/>
      <c r="AW29" s="49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1"/>
      <c r="BO29" s="51"/>
      <c r="BP29" s="51"/>
      <c r="BQ29" s="51"/>
      <c r="BR29" s="51"/>
      <c r="BS29" s="51"/>
      <c r="BT29" s="51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3"/>
      <c r="CM29" s="54"/>
      <c r="CN29" s="54"/>
      <c r="CO29" s="54">
        <v>1</v>
      </c>
      <c r="CP29" s="54"/>
      <c r="CQ29" s="54"/>
      <c r="CR29" s="54"/>
      <c r="CS29" s="54"/>
      <c r="CT29" s="54"/>
      <c r="CU29" s="54"/>
      <c r="CV29" s="54"/>
      <c r="CW29" s="54"/>
      <c r="CX29" s="54"/>
      <c r="CY29" s="54">
        <v>1</v>
      </c>
      <c r="CZ29" s="54"/>
      <c r="DA29" s="54"/>
      <c r="DB29" s="54"/>
      <c r="DC29" s="54"/>
      <c r="DD29" s="54"/>
      <c r="DE29" s="55"/>
      <c r="DF29" s="56"/>
      <c r="DG29" s="56"/>
      <c r="DH29" s="56"/>
      <c r="DI29" s="56"/>
      <c r="DJ29" s="56"/>
      <c r="DK29" s="56"/>
      <c r="DL29" s="57"/>
      <c r="DM29" s="57"/>
      <c r="DN29" s="57"/>
      <c r="DO29" s="57">
        <v>1</v>
      </c>
      <c r="DP29" s="57"/>
      <c r="DQ29" s="57"/>
      <c r="DR29" s="57"/>
      <c r="DS29" s="57"/>
      <c r="DV29">
        <f>'Raciales Especiales'!B29</f>
        <v>1</v>
      </c>
      <c r="DW29">
        <v>12</v>
      </c>
    </row>
    <row r="30" spans="1:127" x14ac:dyDescent="0.25">
      <c r="A30" s="79" t="s">
        <v>177</v>
      </c>
      <c r="B30" s="18">
        <f t="shared" si="0"/>
        <v>14</v>
      </c>
      <c r="C30" s="13">
        <v>1</v>
      </c>
      <c r="D30" s="13"/>
      <c r="E30" s="13"/>
      <c r="F30" s="13"/>
      <c r="G30" s="13"/>
      <c r="H30" s="13"/>
      <c r="I30" s="13">
        <v>1</v>
      </c>
      <c r="J30" s="13"/>
      <c r="K30" s="14"/>
      <c r="L30" s="14"/>
      <c r="M30" s="14"/>
      <c r="N30" s="14">
        <v>1</v>
      </c>
      <c r="O30" s="14"/>
      <c r="P30" s="14"/>
      <c r="Q30" s="15"/>
      <c r="R30" s="15"/>
      <c r="S30" s="15"/>
      <c r="T30" s="16"/>
      <c r="U30" s="16">
        <v>1</v>
      </c>
      <c r="V30" s="16"/>
      <c r="W30" s="16">
        <v>1</v>
      </c>
      <c r="X30" s="17"/>
      <c r="Y30" s="17"/>
      <c r="Z30" s="20"/>
      <c r="AA30" s="24"/>
      <c r="AB30" s="24"/>
      <c r="AC30" s="24">
        <v>1</v>
      </c>
      <c r="AD30" s="24">
        <v>1</v>
      </c>
      <c r="AE30" s="26"/>
      <c r="AF30" s="48"/>
      <c r="AG30" s="48"/>
      <c r="AH30" s="48"/>
      <c r="AI30" s="48">
        <v>1</v>
      </c>
      <c r="AJ30" s="48"/>
      <c r="AK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9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1"/>
      <c r="BO30" s="51"/>
      <c r="BP30" s="51"/>
      <c r="BQ30" s="51"/>
      <c r="BR30" s="51"/>
      <c r="BS30" s="51"/>
      <c r="BT30" s="51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3"/>
      <c r="CM30" s="54"/>
      <c r="CN30" s="54"/>
      <c r="CO30" s="54">
        <v>1</v>
      </c>
      <c r="CP30" s="54"/>
      <c r="CQ30" s="54">
        <v>1</v>
      </c>
      <c r="CR30" s="54"/>
      <c r="CS30" s="54"/>
      <c r="CT30" s="54"/>
      <c r="CU30" s="54"/>
      <c r="CV30" s="54"/>
      <c r="CW30" s="54"/>
      <c r="CX30" s="54"/>
      <c r="CY30" s="54">
        <v>1</v>
      </c>
      <c r="CZ30" s="54"/>
      <c r="DA30" s="54"/>
      <c r="DB30" s="54"/>
      <c r="DC30" s="54"/>
      <c r="DD30" s="54"/>
      <c r="DE30" s="55"/>
      <c r="DF30" s="56"/>
      <c r="DG30" s="56"/>
      <c r="DH30" s="56"/>
      <c r="DI30" s="56"/>
      <c r="DJ30" s="56"/>
      <c r="DK30" s="56"/>
      <c r="DL30" s="57">
        <v>1</v>
      </c>
      <c r="DM30" s="57"/>
      <c r="DN30" s="57"/>
      <c r="DO30" s="57"/>
      <c r="DP30" s="57"/>
      <c r="DQ30" s="57"/>
      <c r="DR30" s="57">
        <v>1</v>
      </c>
      <c r="DS30" s="57"/>
      <c r="DV30">
        <f>'Raciales Especiales'!B30</f>
        <v>1</v>
      </c>
      <c r="DW30">
        <v>12</v>
      </c>
    </row>
    <row r="31" spans="1:127" x14ac:dyDescent="0.25">
      <c r="A31" s="79" t="s">
        <v>178</v>
      </c>
      <c r="B31" s="18">
        <f t="shared" si="0"/>
        <v>13</v>
      </c>
      <c r="C31" s="13">
        <v>1</v>
      </c>
      <c r="D31" s="13"/>
      <c r="E31" s="13"/>
      <c r="F31" s="13"/>
      <c r="G31" s="13"/>
      <c r="H31" s="13"/>
      <c r="I31" s="13">
        <v>1</v>
      </c>
      <c r="J31" s="13"/>
      <c r="K31" s="14"/>
      <c r="L31" s="14"/>
      <c r="M31" s="14"/>
      <c r="N31" s="14">
        <v>1</v>
      </c>
      <c r="O31" s="14"/>
      <c r="P31" s="14"/>
      <c r="Q31" s="15"/>
      <c r="R31" s="15"/>
      <c r="S31" s="15"/>
      <c r="T31" s="16"/>
      <c r="U31" s="16"/>
      <c r="V31" s="16"/>
      <c r="W31" s="16">
        <v>1</v>
      </c>
      <c r="X31" s="17"/>
      <c r="Y31" s="17"/>
      <c r="Z31" s="20"/>
      <c r="AA31" s="24"/>
      <c r="AB31" s="24"/>
      <c r="AC31" s="24">
        <v>1</v>
      </c>
      <c r="AD31" s="24">
        <v>1</v>
      </c>
      <c r="AE31" s="26"/>
      <c r="AF31" s="48"/>
      <c r="AG31" s="48"/>
      <c r="AH31" s="48"/>
      <c r="AI31" s="48">
        <v>1</v>
      </c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9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1"/>
      <c r="BO31" s="51"/>
      <c r="BP31" s="51"/>
      <c r="BQ31" s="51"/>
      <c r="BR31" s="51"/>
      <c r="BS31" s="51"/>
      <c r="BT31" s="51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3"/>
      <c r="CM31" s="54"/>
      <c r="CN31" s="54"/>
      <c r="CO31" s="54">
        <v>1</v>
      </c>
      <c r="CP31" s="54"/>
      <c r="CQ31" s="54">
        <v>1</v>
      </c>
      <c r="CR31" s="54"/>
      <c r="CS31" s="54"/>
      <c r="CT31" s="54"/>
      <c r="CU31" s="54"/>
      <c r="CV31" s="54"/>
      <c r="CW31" s="54"/>
      <c r="CX31" s="54"/>
      <c r="CY31" s="54">
        <v>1</v>
      </c>
      <c r="CZ31" s="54"/>
      <c r="DA31" s="54"/>
      <c r="DB31" s="54"/>
      <c r="DC31" s="54"/>
      <c r="DD31" s="54"/>
      <c r="DE31" s="55"/>
      <c r="DF31" s="56"/>
      <c r="DG31" s="56"/>
      <c r="DH31" s="56"/>
      <c r="DI31" s="56"/>
      <c r="DJ31" s="56"/>
      <c r="DK31" s="56"/>
      <c r="DL31" s="57">
        <v>1</v>
      </c>
      <c r="DM31" s="57"/>
      <c r="DN31" s="57"/>
      <c r="DO31" s="57"/>
      <c r="DP31" s="57"/>
      <c r="DQ31" s="57"/>
      <c r="DR31" s="57">
        <v>1</v>
      </c>
      <c r="DS31" s="57"/>
      <c r="DV31">
        <f>'Raciales Especiales'!B31</f>
        <v>1</v>
      </c>
      <c r="DW31">
        <v>12</v>
      </c>
    </row>
    <row r="32" spans="1:127" x14ac:dyDescent="0.25">
      <c r="A32" s="80" t="s">
        <v>4</v>
      </c>
      <c r="B32" s="18">
        <f t="shared" si="0"/>
        <v>13</v>
      </c>
      <c r="C32" s="13"/>
      <c r="D32" s="13"/>
      <c r="E32" s="13"/>
      <c r="F32" s="13">
        <v>1</v>
      </c>
      <c r="G32" s="13"/>
      <c r="H32" s="13">
        <v>-1</v>
      </c>
      <c r="I32" s="13"/>
      <c r="J32" s="13"/>
      <c r="K32" s="14"/>
      <c r="L32" s="14"/>
      <c r="M32" s="14"/>
      <c r="N32" s="14">
        <v>1</v>
      </c>
      <c r="O32" s="14"/>
      <c r="P32" s="14"/>
      <c r="Q32" s="15">
        <v>1</v>
      </c>
      <c r="R32" s="15"/>
      <c r="S32" s="15"/>
      <c r="T32" s="16">
        <v>1</v>
      </c>
      <c r="U32" s="16"/>
      <c r="V32" s="16">
        <v>1</v>
      </c>
      <c r="W32" s="16"/>
      <c r="X32" s="17"/>
      <c r="Y32" s="17"/>
      <c r="Z32" s="20"/>
      <c r="AA32" s="24"/>
      <c r="AB32" s="24"/>
      <c r="AC32" s="24"/>
      <c r="AD32" s="24"/>
      <c r="AE32" s="26">
        <v>1</v>
      </c>
      <c r="AF32" s="48">
        <v>1</v>
      </c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>
        <v>1</v>
      </c>
      <c r="AS32" s="48"/>
      <c r="AT32" s="48"/>
      <c r="AU32" s="48"/>
      <c r="AV32" s="48"/>
      <c r="AW32" s="49"/>
      <c r="AX32" s="50"/>
      <c r="AY32" s="50"/>
      <c r="AZ32" s="50"/>
      <c r="BA32" s="50"/>
      <c r="BB32" s="50"/>
      <c r="BC32" s="50"/>
      <c r="BD32" s="50"/>
      <c r="BE32" s="50"/>
      <c r="BF32" s="50">
        <v>1</v>
      </c>
      <c r="BG32" s="50"/>
      <c r="BH32" s="50"/>
      <c r="BI32" s="50"/>
      <c r="BJ32" s="50"/>
      <c r="BK32" s="50"/>
      <c r="BL32" s="50"/>
      <c r="BM32" s="50"/>
      <c r="BN32" s="51"/>
      <c r="BO32" s="51"/>
      <c r="BP32" s="51"/>
      <c r="BQ32" s="51"/>
      <c r="BR32" s="51"/>
      <c r="BS32" s="51"/>
      <c r="BT32" s="51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3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5"/>
      <c r="DF32" s="56"/>
      <c r="DG32" s="56"/>
      <c r="DH32" s="56"/>
      <c r="DI32" s="56"/>
      <c r="DJ32" s="56"/>
      <c r="DK32" s="56"/>
      <c r="DL32" s="57"/>
      <c r="DM32" s="57"/>
      <c r="DN32" s="57"/>
      <c r="DO32" s="57">
        <v>1</v>
      </c>
      <c r="DP32" s="57"/>
      <c r="DQ32" s="57">
        <v>1</v>
      </c>
      <c r="DR32" s="57"/>
      <c r="DS32" s="57"/>
      <c r="DU32">
        <v>1</v>
      </c>
      <c r="DV32">
        <f>'Raciales Especiales'!B32</f>
        <v>2</v>
      </c>
      <c r="DW32">
        <v>10</v>
      </c>
    </row>
    <row r="33" spans="1:127" x14ac:dyDescent="0.25">
      <c r="A33" s="81" t="s">
        <v>5</v>
      </c>
      <c r="B33" s="18">
        <f t="shared" si="0"/>
        <v>13</v>
      </c>
      <c r="C33" s="13">
        <v>3</v>
      </c>
      <c r="D33" s="13"/>
      <c r="E33" s="13">
        <v>-1</v>
      </c>
      <c r="G33" s="13"/>
      <c r="H33" s="13"/>
      <c r="I33" s="13">
        <v>2</v>
      </c>
      <c r="J33" s="13"/>
      <c r="K33" s="14"/>
      <c r="L33" s="14"/>
      <c r="M33" s="14"/>
      <c r="N33" s="14"/>
      <c r="O33" s="14"/>
      <c r="P33" s="14"/>
      <c r="Q33" s="15"/>
      <c r="R33" s="15"/>
      <c r="S33" s="15"/>
      <c r="T33" s="16"/>
      <c r="U33" s="16"/>
      <c r="V33" s="16"/>
      <c r="W33" s="16"/>
      <c r="X33" s="17"/>
      <c r="Y33" s="17"/>
      <c r="Z33" s="20"/>
      <c r="AA33" s="24"/>
      <c r="AB33" s="24"/>
      <c r="AC33" s="24"/>
      <c r="AD33" s="24"/>
      <c r="AE33" s="26"/>
      <c r="AF33" s="48"/>
      <c r="AG33" s="48"/>
      <c r="AH33" s="48"/>
      <c r="AI33" s="48">
        <v>2</v>
      </c>
      <c r="AJ33" s="48"/>
      <c r="AK33" s="48">
        <v>2</v>
      </c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9">
        <v>1</v>
      </c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1"/>
      <c r="BO33" s="51"/>
      <c r="BP33" s="51"/>
      <c r="BQ33" s="51"/>
      <c r="BR33" s="51"/>
      <c r="BS33" s="51"/>
      <c r="BT33" s="51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3"/>
      <c r="CM33" s="54"/>
      <c r="CN33" s="54"/>
      <c r="CO33" s="54"/>
      <c r="CP33" s="54"/>
      <c r="CQ33" s="54"/>
      <c r="CR33" s="54"/>
      <c r="CS33" s="54"/>
      <c r="CT33" s="54"/>
      <c r="CU33" s="54"/>
      <c r="CV33" s="54"/>
      <c r="CW33" s="54"/>
      <c r="CX33" s="54"/>
      <c r="CY33" s="54"/>
      <c r="CZ33" s="54"/>
      <c r="DA33" s="54"/>
      <c r="DB33" s="54"/>
      <c r="DC33" s="54"/>
      <c r="DD33" s="54"/>
      <c r="DE33" s="55"/>
      <c r="DF33" s="56"/>
      <c r="DG33" s="56"/>
      <c r="DH33" s="56"/>
      <c r="DI33" s="56"/>
      <c r="DJ33" s="56"/>
      <c r="DK33" s="56"/>
      <c r="DL33" s="57">
        <v>2</v>
      </c>
      <c r="DM33" s="57"/>
      <c r="DN33" s="57"/>
      <c r="DO33" s="57"/>
      <c r="DP33" s="57"/>
      <c r="DQ33" s="57"/>
      <c r="DR33" s="57"/>
      <c r="DS33" s="57"/>
      <c r="DV33">
        <f>'Raciales Especiales'!B33</f>
        <v>2</v>
      </c>
      <c r="DW33">
        <v>12</v>
      </c>
    </row>
    <row r="34" spans="1:127" x14ac:dyDescent="0.25">
      <c r="A34" s="84" t="s">
        <v>130</v>
      </c>
      <c r="B34" s="18">
        <f t="shared" si="0"/>
        <v>14</v>
      </c>
      <c r="C34" s="13"/>
      <c r="D34" s="13">
        <v>1</v>
      </c>
      <c r="E34" s="13">
        <v>1</v>
      </c>
      <c r="F34" s="13"/>
      <c r="G34" s="13"/>
      <c r="H34" s="13">
        <v>1</v>
      </c>
      <c r="I34" s="13"/>
      <c r="J34" s="13"/>
      <c r="K34" s="14"/>
      <c r="L34" s="14">
        <v>1</v>
      </c>
      <c r="M34" s="14">
        <v>1</v>
      </c>
      <c r="N34" s="14"/>
      <c r="O34" s="14"/>
      <c r="P34" s="14">
        <v>1</v>
      </c>
      <c r="Q34" s="15"/>
      <c r="R34" s="15"/>
      <c r="S34" s="15"/>
      <c r="T34" s="16">
        <v>1</v>
      </c>
      <c r="U34" s="16"/>
      <c r="V34" s="16"/>
      <c r="W34" s="16">
        <v>1</v>
      </c>
      <c r="X34" s="17"/>
      <c r="Y34" s="17"/>
      <c r="Z34" s="20"/>
      <c r="AA34" s="24"/>
      <c r="AB34" s="24"/>
      <c r="AC34" s="24"/>
      <c r="AD34" s="24"/>
      <c r="AE34" s="26"/>
      <c r="AF34" s="48"/>
      <c r="AG34" s="48"/>
      <c r="AH34" s="48"/>
      <c r="AI34" s="48"/>
      <c r="AJ34" s="48"/>
      <c r="AK34" s="48"/>
      <c r="AL34" s="48"/>
      <c r="AM34" s="48">
        <v>1</v>
      </c>
      <c r="AN34" s="48"/>
      <c r="AO34" s="48"/>
      <c r="AP34" s="48"/>
      <c r="AQ34" s="48"/>
      <c r="AR34" s="48">
        <v>1</v>
      </c>
      <c r="AS34" s="48"/>
      <c r="AT34" s="48"/>
      <c r="AU34" s="48"/>
      <c r="AV34" s="48"/>
      <c r="AW34" s="49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1"/>
      <c r="BO34" s="51"/>
      <c r="BP34" s="51"/>
      <c r="BQ34" s="51"/>
      <c r="BR34" s="51"/>
      <c r="BS34" s="51"/>
      <c r="BT34" s="51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3"/>
      <c r="CM34" s="54">
        <v>1</v>
      </c>
      <c r="CN34" s="54"/>
      <c r="CO34" s="54"/>
      <c r="CP34" s="54"/>
      <c r="CQ34" s="54"/>
      <c r="CR34" s="54"/>
      <c r="CS34" s="54"/>
      <c r="CT34" s="54"/>
      <c r="CU34" s="54">
        <v>1</v>
      </c>
      <c r="CV34" s="54"/>
      <c r="CW34" s="54"/>
      <c r="CX34" s="54"/>
      <c r="CY34" s="54"/>
      <c r="CZ34" s="54"/>
      <c r="DA34" s="54"/>
      <c r="DB34" s="54"/>
      <c r="DC34" s="54"/>
      <c r="DD34" s="54"/>
      <c r="DE34" s="55"/>
      <c r="DF34" s="56"/>
      <c r="DG34" s="56"/>
      <c r="DH34" s="56"/>
      <c r="DI34" s="56"/>
      <c r="DJ34" s="56"/>
      <c r="DK34" s="56"/>
      <c r="DL34" s="57"/>
      <c r="DM34" s="57"/>
      <c r="DN34" s="57"/>
      <c r="DO34" s="57"/>
      <c r="DP34" s="57"/>
      <c r="DQ34" s="57"/>
      <c r="DR34" s="57"/>
      <c r="DS34" s="57"/>
      <c r="DV34">
        <f>'Raciales Especiales'!B34</f>
        <v>2</v>
      </c>
      <c r="DW34">
        <v>8</v>
      </c>
    </row>
    <row r="35" spans="1:127" x14ac:dyDescent="0.25">
      <c r="A35" s="82" t="s">
        <v>6</v>
      </c>
      <c r="B35" s="18">
        <f t="shared" si="0"/>
        <v>14</v>
      </c>
      <c r="C35" s="13"/>
      <c r="D35" s="13">
        <v>1</v>
      </c>
      <c r="E35" s="13">
        <v>1</v>
      </c>
      <c r="F35" s="13"/>
      <c r="G35" s="13"/>
      <c r="H35" s="13">
        <v>1</v>
      </c>
      <c r="I35" s="13"/>
      <c r="J35" s="13">
        <v>1</v>
      </c>
      <c r="K35" s="14"/>
      <c r="L35" s="14"/>
      <c r="M35" s="14"/>
      <c r="N35" s="14"/>
      <c r="O35" s="14"/>
      <c r="P35" s="14"/>
      <c r="Q35" s="15"/>
      <c r="R35" s="15"/>
      <c r="S35" s="15"/>
      <c r="T35" s="16"/>
      <c r="U35" s="16"/>
      <c r="V35" s="16"/>
      <c r="W35" s="16"/>
      <c r="X35" s="17"/>
      <c r="Y35" s="17"/>
      <c r="Z35" s="20"/>
      <c r="AA35" s="120">
        <v>1</v>
      </c>
      <c r="AB35" s="24">
        <v>1</v>
      </c>
      <c r="AC35" s="24"/>
      <c r="AD35" s="24"/>
      <c r="AE35" s="26">
        <v>1</v>
      </c>
      <c r="AF35" s="48">
        <v>1</v>
      </c>
      <c r="AG35" s="48"/>
      <c r="AH35" s="48"/>
      <c r="AI35" s="48"/>
      <c r="AJ35" s="48"/>
      <c r="AK35" s="48"/>
      <c r="AL35" s="48">
        <v>1</v>
      </c>
      <c r="AM35" s="48"/>
      <c r="AN35" s="48"/>
      <c r="AO35" s="48"/>
      <c r="AP35" s="48"/>
      <c r="AQ35" s="48">
        <v>1</v>
      </c>
      <c r="AR35" s="48"/>
      <c r="AS35" s="48"/>
      <c r="AT35" s="48"/>
      <c r="AU35" s="48"/>
      <c r="AV35" s="48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1"/>
      <c r="BO35" s="51"/>
      <c r="BP35" s="51"/>
      <c r="BQ35" s="51"/>
      <c r="BR35" s="51"/>
      <c r="BS35" s="51"/>
      <c r="BT35" s="51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3"/>
      <c r="CM35" s="54"/>
      <c r="CN35" s="54"/>
      <c r="CO35" s="54"/>
      <c r="CP35" s="54"/>
      <c r="CQ35" s="54"/>
      <c r="CR35" s="54">
        <v>1</v>
      </c>
      <c r="CS35" s="54"/>
      <c r="CT35" s="54"/>
      <c r="CU35" s="54"/>
      <c r="CV35" s="54"/>
      <c r="CW35" s="54"/>
      <c r="CX35" s="54"/>
      <c r="CY35" s="54"/>
      <c r="CZ35" s="54"/>
      <c r="DA35" s="54"/>
      <c r="DB35" s="54"/>
      <c r="DC35" s="54"/>
      <c r="DD35" s="54"/>
      <c r="DE35" s="55"/>
      <c r="DF35" s="56"/>
      <c r="DG35" s="56"/>
      <c r="DH35" s="56"/>
      <c r="DI35" s="56"/>
      <c r="DJ35" s="56"/>
      <c r="DK35" s="56"/>
      <c r="DL35" s="57"/>
      <c r="DM35" s="57">
        <v>1</v>
      </c>
      <c r="DN35" s="57"/>
      <c r="DO35" s="57"/>
      <c r="DP35" s="57"/>
      <c r="DQ35" s="57"/>
      <c r="DR35" s="57"/>
      <c r="DS35" s="57"/>
      <c r="DU35">
        <v>1</v>
      </c>
      <c r="DV35">
        <f>'Raciales Especiales'!B35</f>
        <v>1</v>
      </c>
      <c r="DW35">
        <v>10</v>
      </c>
    </row>
    <row r="36" spans="1:127" x14ac:dyDescent="0.25">
      <c r="A36" s="77" t="s">
        <v>7</v>
      </c>
      <c r="B36" s="18">
        <f t="shared" si="0"/>
        <v>14</v>
      </c>
      <c r="C36" s="13"/>
      <c r="D36" s="13"/>
      <c r="E36" s="13">
        <v>1</v>
      </c>
      <c r="F36" s="13"/>
      <c r="G36" s="13"/>
      <c r="H36" s="13">
        <v>1</v>
      </c>
      <c r="I36" s="13"/>
      <c r="J36" s="13">
        <v>1</v>
      </c>
      <c r="K36" s="14"/>
      <c r="L36" s="14"/>
      <c r="M36" s="14"/>
      <c r="N36" s="14"/>
      <c r="O36" s="14"/>
      <c r="P36" s="14"/>
      <c r="Q36" s="15"/>
      <c r="R36" s="15"/>
      <c r="S36" s="15">
        <v>1</v>
      </c>
      <c r="T36" s="16"/>
      <c r="U36" s="16"/>
      <c r="V36" s="16"/>
      <c r="W36" s="16">
        <v>1</v>
      </c>
      <c r="X36" s="17"/>
      <c r="Y36" s="17"/>
      <c r="Z36" s="20">
        <v>1</v>
      </c>
      <c r="AA36" s="24">
        <v>1</v>
      </c>
      <c r="AB36" s="24"/>
      <c r="AC36" s="24"/>
      <c r="AD36" s="24"/>
      <c r="AE36" s="26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>
        <v>1</v>
      </c>
      <c r="AR36" s="48">
        <v>1</v>
      </c>
      <c r="AS36" s="48">
        <v>1</v>
      </c>
      <c r="AT36" s="48"/>
      <c r="AU36" s="48"/>
      <c r="AV36" s="48"/>
      <c r="AW36" s="49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1"/>
      <c r="BO36" s="51"/>
      <c r="BP36" s="51"/>
      <c r="BQ36" s="51"/>
      <c r="BR36" s="51"/>
      <c r="BS36" s="51"/>
      <c r="BT36" s="51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3"/>
      <c r="CM36" s="54"/>
      <c r="CN36" s="54"/>
      <c r="CO36" s="54"/>
      <c r="CP36" s="54"/>
      <c r="CQ36" s="54"/>
      <c r="CR36" s="54"/>
      <c r="CS36" s="54"/>
      <c r="CT36" s="54">
        <v>1</v>
      </c>
      <c r="CU36" s="54"/>
      <c r="CV36" s="54"/>
      <c r="CW36" s="54"/>
      <c r="CX36" s="54"/>
      <c r="CY36" s="54"/>
      <c r="CZ36" s="54"/>
      <c r="DA36" s="54"/>
      <c r="DB36" s="54"/>
      <c r="DC36" s="54"/>
      <c r="DD36" s="54"/>
      <c r="DE36" s="55"/>
      <c r="DF36" s="56"/>
      <c r="DG36" s="56"/>
      <c r="DH36" s="56"/>
      <c r="DI36" s="56"/>
      <c r="DJ36" s="56"/>
      <c r="DK36" s="56"/>
      <c r="DL36" s="57"/>
      <c r="DM36" s="57">
        <v>1</v>
      </c>
      <c r="DN36" s="57"/>
      <c r="DO36" s="57"/>
      <c r="DP36" s="57"/>
      <c r="DQ36" s="57"/>
      <c r="DR36" s="57"/>
      <c r="DS36" s="57"/>
      <c r="DU36">
        <v>1</v>
      </c>
      <c r="DV36">
        <f>'Raciales Especiales'!B36</f>
        <v>1</v>
      </c>
      <c r="DW36">
        <v>12</v>
      </c>
    </row>
    <row r="37" spans="1:127" x14ac:dyDescent="0.25">
      <c r="A37" t="s">
        <v>8</v>
      </c>
      <c r="B37" s="18">
        <f t="shared" si="0"/>
        <v>14</v>
      </c>
      <c r="C37" s="13">
        <v>1</v>
      </c>
      <c r="D37" s="13">
        <v>1</v>
      </c>
      <c r="E37" s="13"/>
      <c r="F37" s="13"/>
      <c r="G37" s="13"/>
      <c r="H37" s="13">
        <v>1</v>
      </c>
      <c r="I37" s="13"/>
      <c r="J37" s="13">
        <v>1</v>
      </c>
      <c r="K37" s="14">
        <v>1</v>
      </c>
      <c r="L37" s="14"/>
      <c r="M37" s="14"/>
      <c r="N37" s="14"/>
      <c r="O37" s="14">
        <v>1</v>
      </c>
      <c r="P37" s="14"/>
      <c r="Q37" s="15"/>
      <c r="R37" s="15"/>
      <c r="S37" s="15"/>
      <c r="T37" s="16"/>
      <c r="U37" s="16"/>
      <c r="V37" s="16"/>
      <c r="W37" s="16">
        <v>1</v>
      </c>
      <c r="X37" s="17"/>
      <c r="Y37" s="17"/>
      <c r="Z37" s="20"/>
      <c r="AA37" s="24"/>
      <c r="AB37" s="24"/>
      <c r="AC37" s="24"/>
      <c r="AD37" s="24"/>
      <c r="AE37" s="26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>
        <v>1</v>
      </c>
      <c r="AQ37" s="48"/>
      <c r="AR37" s="48"/>
      <c r="AS37" s="48"/>
      <c r="AT37" s="48">
        <v>1</v>
      </c>
      <c r="AU37" s="48"/>
      <c r="AV37" s="48"/>
      <c r="AW37" s="49">
        <v>1</v>
      </c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1"/>
      <c r="BO37" s="51"/>
      <c r="BP37" s="51"/>
      <c r="BQ37" s="51"/>
      <c r="BR37" s="51"/>
      <c r="BS37" s="51"/>
      <c r="BT37" s="51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3"/>
      <c r="CM37" s="54"/>
      <c r="CN37" s="54"/>
      <c r="CO37" s="54"/>
      <c r="CP37" s="54"/>
      <c r="CQ37" s="54"/>
      <c r="CR37" s="54"/>
      <c r="CS37" s="54"/>
      <c r="CT37" s="54"/>
      <c r="CU37" s="54"/>
      <c r="CV37" s="54"/>
      <c r="CW37" s="54"/>
      <c r="CX37" s="54"/>
      <c r="CY37" s="54"/>
      <c r="CZ37" s="54"/>
      <c r="DA37" s="54"/>
      <c r="DB37" s="54"/>
      <c r="DC37" s="54"/>
      <c r="DD37" s="54"/>
      <c r="DE37" s="55"/>
      <c r="DF37" s="56"/>
      <c r="DG37" s="56"/>
      <c r="DH37" s="56"/>
      <c r="DI37" s="56"/>
      <c r="DJ37" s="56">
        <v>1</v>
      </c>
      <c r="DK37" s="56"/>
      <c r="DL37" s="57">
        <v>1</v>
      </c>
      <c r="DM37" s="57"/>
      <c r="DN37" s="57"/>
      <c r="DO37" s="57"/>
      <c r="DP37" s="57"/>
      <c r="DQ37" s="57"/>
      <c r="DR37" s="57"/>
      <c r="DS37" s="57"/>
      <c r="DV37">
        <f>'Raciales Especiales'!B37</f>
        <v>2</v>
      </c>
      <c r="DW37">
        <v>10</v>
      </c>
    </row>
    <row r="38" spans="1:127" x14ac:dyDescent="0.25">
      <c r="A38" s="83" t="s">
        <v>9</v>
      </c>
      <c r="B38" s="18">
        <f t="shared" si="0"/>
        <v>14</v>
      </c>
      <c r="C38" s="13"/>
      <c r="D38" s="13">
        <v>1</v>
      </c>
      <c r="E38" s="13"/>
      <c r="F38" s="13"/>
      <c r="G38" s="13">
        <v>1</v>
      </c>
      <c r="H38" s="13">
        <v>1</v>
      </c>
      <c r="I38" s="13"/>
      <c r="J38" s="13"/>
      <c r="K38" s="14"/>
      <c r="L38" s="14">
        <v>1</v>
      </c>
      <c r="M38" s="14">
        <v>1</v>
      </c>
      <c r="N38" s="14">
        <v>1</v>
      </c>
      <c r="O38" s="14"/>
      <c r="P38" s="14">
        <v>1</v>
      </c>
      <c r="Q38" s="15">
        <v>1</v>
      </c>
      <c r="R38" s="15"/>
      <c r="S38" s="15"/>
      <c r="T38" s="16"/>
      <c r="U38" s="16"/>
      <c r="V38" s="16"/>
      <c r="W38" s="16">
        <v>1</v>
      </c>
      <c r="X38" s="17"/>
      <c r="Y38" s="17"/>
      <c r="Z38" s="20"/>
      <c r="AA38" s="24"/>
      <c r="AB38" s="24"/>
      <c r="AC38" s="24"/>
      <c r="AD38" s="24"/>
      <c r="AE38" s="26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>
        <v>1</v>
      </c>
      <c r="AS38" s="48"/>
      <c r="AT38" s="48"/>
      <c r="AU38" s="48"/>
      <c r="AV38" s="48"/>
      <c r="AW38" s="49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1"/>
      <c r="BO38" s="51"/>
      <c r="BP38" s="51"/>
      <c r="BQ38" s="51"/>
      <c r="BR38" s="51"/>
      <c r="BS38" s="51"/>
      <c r="BT38" s="51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3"/>
      <c r="CM38" s="54"/>
      <c r="CN38" s="54"/>
      <c r="CO38" s="54"/>
      <c r="CP38" s="54"/>
      <c r="CQ38" s="54"/>
      <c r="CR38" s="54"/>
      <c r="CS38" s="54"/>
      <c r="CT38" s="54"/>
      <c r="CU38" s="54"/>
      <c r="CV38" s="54"/>
      <c r="CW38" s="54"/>
      <c r="CX38" s="54"/>
      <c r="CY38" s="54"/>
      <c r="CZ38" s="54"/>
      <c r="DA38" s="54"/>
      <c r="DB38" s="54"/>
      <c r="DC38" s="54"/>
      <c r="DD38" s="54"/>
      <c r="DE38" s="55"/>
      <c r="DF38" s="56"/>
      <c r="DG38" s="56"/>
      <c r="DH38" s="56"/>
      <c r="DI38" s="56"/>
      <c r="DJ38" s="56"/>
      <c r="DK38" s="56"/>
      <c r="DL38" s="57"/>
      <c r="DM38" s="57"/>
      <c r="DN38" s="57">
        <v>1</v>
      </c>
      <c r="DO38" s="57"/>
      <c r="DP38" s="57"/>
      <c r="DQ38" s="57"/>
      <c r="DR38" s="57"/>
      <c r="DS38" s="57"/>
      <c r="DU38">
        <v>1</v>
      </c>
      <c r="DV38">
        <f>'Raciales Especiales'!B38</f>
        <v>2</v>
      </c>
      <c r="DW38">
        <v>8</v>
      </c>
    </row>
    <row r="39" spans="1:127" s="129" customFormat="1" x14ac:dyDescent="0.25">
      <c r="A39" s="128" t="s">
        <v>10</v>
      </c>
      <c r="B39" s="148">
        <f t="shared" si="0"/>
        <v>14</v>
      </c>
      <c r="C39" s="149"/>
      <c r="D39" s="149">
        <v>1</v>
      </c>
      <c r="E39" s="149"/>
      <c r="F39" s="149"/>
      <c r="G39" s="149">
        <v>1</v>
      </c>
      <c r="H39" s="149"/>
      <c r="I39" s="149"/>
      <c r="J39" s="149"/>
      <c r="K39" s="150">
        <v>1</v>
      </c>
      <c r="L39" s="150"/>
      <c r="M39" s="150"/>
      <c r="N39" s="150"/>
      <c r="O39" s="150"/>
      <c r="P39" s="150"/>
      <c r="Q39" s="151"/>
      <c r="R39" s="151"/>
      <c r="S39" s="151"/>
      <c r="T39" s="152"/>
      <c r="U39" s="152"/>
      <c r="V39" s="152">
        <v>1</v>
      </c>
      <c r="W39" s="152"/>
      <c r="X39" s="153"/>
      <c r="Y39" s="153"/>
      <c r="Z39" s="154"/>
      <c r="AA39" s="155">
        <v>1</v>
      </c>
      <c r="AB39" s="155"/>
      <c r="AC39" s="155"/>
      <c r="AD39" s="155"/>
      <c r="AE39" s="156"/>
      <c r="AF39" s="157">
        <v>1</v>
      </c>
      <c r="AG39" s="157">
        <v>1</v>
      </c>
      <c r="AH39" s="157"/>
      <c r="AI39" s="157"/>
      <c r="AJ39" s="157"/>
      <c r="AK39" s="157"/>
      <c r="AL39" s="157"/>
      <c r="AM39" s="157"/>
      <c r="AN39" s="157"/>
      <c r="AO39" s="157"/>
      <c r="AP39" s="157"/>
      <c r="AQ39" s="157">
        <v>1</v>
      </c>
      <c r="AR39" s="157"/>
      <c r="AS39" s="157"/>
      <c r="AT39" s="157">
        <v>1</v>
      </c>
      <c r="AU39" s="157"/>
      <c r="AV39" s="157"/>
      <c r="AW39" s="158">
        <v>1</v>
      </c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60"/>
      <c r="BO39" s="160"/>
      <c r="BP39" s="160"/>
      <c r="BQ39" s="160"/>
      <c r="BR39" s="160"/>
      <c r="BS39" s="160"/>
      <c r="BT39" s="160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2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4"/>
      <c r="DF39" s="165"/>
      <c r="DG39" s="165"/>
      <c r="DH39" s="165"/>
      <c r="DI39" s="165"/>
      <c r="DJ39" s="165"/>
      <c r="DK39" s="165"/>
      <c r="DL39" s="166"/>
      <c r="DM39" s="166"/>
      <c r="DN39" s="166"/>
      <c r="DO39" s="166"/>
      <c r="DP39" s="166"/>
      <c r="DQ39" s="166"/>
      <c r="DR39" s="166"/>
      <c r="DS39" s="166"/>
      <c r="DU39" s="129">
        <v>1</v>
      </c>
      <c r="DV39" s="129">
        <f>'Raciales Especiales'!B39</f>
        <v>3</v>
      </c>
      <c r="DW39" s="129">
        <v>14</v>
      </c>
    </row>
    <row r="40" spans="1:127" x14ac:dyDescent="0.25">
      <c r="C40" s="130"/>
      <c r="D40" s="130"/>
      <c r="E40" s="130"/>
      <c r="F40" s="130"/>
      <c r="G40" s="130"/>
      <c r="H40" s="130"/>
      <c r="I40" s="130"/>
      <c r="J40" s="130"/>
      <c r="K40" s="131"/>
      <c r="L40" s="131"/>
      <c r="M40" s="131"/>
      <c r="N40" s="131"/>
      <c r="O40" s="131"/>
      <c r="P40" s="131"/>
      <c r="Q40" s="132"/>
      <c r="R40" s="132"/>
      <c r="S40" s="132"/>
      <c r="T40" s="133"/>
      <c r="U40" s="133"/>
      <c r="V40" s="133"/>
      <c r="W40" s="133"/>
      <c r="X40" s="134"/>
      <c r="Y40" s="134"/>
      <c r="Z40" s="135"/>
      <c r="AA40" s="136"/>
      <c r="AB40" s="136"/>
      <c r="AC40" s="136"/>
      <c r="AD40" s="136"/>
      <c r="AE40" s="137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9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1"/>
      <c r="BO40" s="141"/>
      <c r="BP40" s="141"/>
      <c r="BQ40" s="141"/>
      <c r="BR40" s="141"/>
      <c r="BS40" s="141"/>
      <c r="BT40" s="141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3"/>
      <c r="CM40" s="144"/>
      <c r="CN40" s="144"/>
      <c r="CO40" s="144"/>
      <c r="CP40" s="144"/>
      <c r="CQ40" s="144"/>
      <c r="CR40" s="144"/>
      <c r="CS40" s="144"/>
      <c r="CT40" s="144"/>
      <c r="CU40" s="144"/>
      <c r="CV40" s="144"/>
      <c r="CW40" s="144"/>
      <c r="CX40" s="144"/>
      <c r="CY40" s="144"/>
      <c r="CZ40" s="144"/>
      <c r="DA40" s="144"/>
      <c r="DB40" s="144"/>
      <c r="DC40" s="144"/>
      <c r="DD40" s="144"/>
      <c r="DE40" s="145"/>
      <c r="DF40" s="146"/>
      <c r="DG40" s="146"/>
      <c r="DH40" s="146"/>
      <c r="DI40" s="146"/>
      <c r="DJ40" s="146"/>
      <c r="DK40" s="146"/>
      <c r="DL40" s="147"/>
      <c r="DM40" s="147"/>
      <c r="DN40" s="147"/>
      <c r="DO40" s="147"/>
      <c r="DP40" s="147"/>
      <c r="DQ40" s="147"/>
      <c r="DR40" s="147"/>
      <c r="DS40" s="14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A9B6D-A6CF-43B0-A1E5-B77A51A2DC2E}">
  <sheetPr codeName="Hoja4"/>
  <dimension ref="A1:DR14"/>
  <sheetViews>
    <sheetView workbookViewId="0">
      <pane xSplit="2" ySplit="1" topLeftCell="BH2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baseColWidth="10" defaultRowHeight="15" x14ac:dyDescent="0.25"/>
  <cols>
    <col min="1" max="1" width="21" bestFit="1" customWidth="1"/>
    <col min="2" max="2" width="3.7109375" bestFit="1" customWidth="1"/>
    <col min="3" max="3" width="3.7109375" style="8" customWidth="1"/>
    <col min="4" max="10" width="3.7109375" style="8" bestFit="1" customWidth="1"/>
    <col min="11" max="16" width="3.7109375" style="9" bestFit="1" customWidth="1"/>
    <col min="17" max="19" width="3.7109375" style="10" bestFit="1" customWidth="1"/>
    <col min="20" max="22" width="3.7109375" style="11" bestFit="1" customWidth="1"/>
    <col min="23" max="23" width="3.7109375" style="11" customWidth="1"/>
    <col min="24" max="26" width="3.7109375" style="12" bestFit="1" customWidth="1"/>
    <col min="27" max="31" width="3.7109375" style="23" bestFit="1" customWidth="1"/>
    <col min="32" max="49" width="3.7109375" style="38" bestFit="1" customWidth="1"/>
    <col min="50" max="66" width="3.7109375" style="40" bestFit="1" customWidth="1"/>
    <col min="67" max="67" width="3.7109375" style="40" customWidth="1"/>
    <col min="68" max="72" width="3.7109375" style="40" bestFit="1" customWidth="1"/>
    <col min="73" max="90" width="3.7109375" style="42" bestFit="1" customWidth="1"/>
    <col min="91" max="109" width="3.7109375" style="44" bestFit="1" customWidth="1"/>
    <col min="110" max="115" width="3.7109375" style="46" bestFit="1" customWidth="1"/>
    <col min="116" max="122" width="3.7109375" style="47" bestFit="1" customWidth="1"/>
  </cols>
  <sheetData>
    <row r="1" spans="1:122" s="1" customFormat="1" ht="131.25" x14ac:dyDescent="0.25">
      <c r="B1" s="1" t="s">
        <v>127</v>
      </c>
      <c r="C1" s="8" t="s">
        <v>11</v>
      </c>
      <c r="D1" s="8" t="s">
        <v>12</v>
      </c>
      <c r="E1" s="8" t="s">
        <v>13</v>
      </c>
      <c r="F1" s="8" t="s">
        <v>14</v>
      </c>
      <c r="G1" s="8" t="s">
        <v>15</v>
      </c>
      <c r="H1" s="8" t="s">
        <v>29</v>
      </c>
      <c r="I1" s="8" t="s">
        <v>16</v>
      </c>
      <c r="J1" s="8" t="s">
        <v>17</v>
      </c>
      <c r="K1" s="9" t="s">
        <v>18</v>
      </c>
      <c r="L1" s="9" t="s">
        <v>19</v>
      </c>
      <c r="M1" s="9" t="s">
        <v>20</v>
      </c>
      <c r="N1" s="9" t="s">
        <v>21</v>
      </c>
      <c r="O1" s="9" t="s">
        <v>204</v>
      </c>
      <c r="P1" s="9" t="s">
        <v>22</v>
      </c>
      <c r="Q1" s="10" t="s">
        <v>23</v>
      </c>
      <c r="R1" s="10" t="s">
        <v>24</v>
      </c>
      <c r="S1" s="10" t="s">
        <v>25</v>
      </c>
      <c r="T1" s="11" t="s">
        <v>26</v>
      </c>
      <c r="U1" s="11" t="s">
        <v>27</v>
      </c>
      <c r="V1" s="11" t="s">
        <v>28</v>
      </c>
      <c r="W1" s="11" t="s">
        <v>203</v>
      </c>
      <c r="X1" s="12" t="s">
        <v>205</v>
      </c>
      <c r="Y1" s="12" t="s">
        <v>31</v>
      </c>
      <c r="Z1" s="12" t="s">
        <v>32</v>
      </c>
      <c r="AA1" s="23" t="s">
        <v>33</v>
      </c>
      <c r="AB1" s="23" t="s">
        <v>34</v>
      </c>
      <c r="AC1" s="23" t="s">
        <v>35</v>
      </c>
      <c r="AD1" s="23" t="s">
        <v>36</v>
      </c>
      <c r="AE1" s="23" t="s">
        <v>37</v>
      </c>
      <c r="AF1" s="38" t="s">
        <v>38</v>
      </c>
      <c r="AG1" s="38" t="s">
        <v>39</v>
      </c>
      <c r="AH1" s="38" t="s">
        <v>40</v>
      </c>
      <c r="AI1" s="38" t="s">
        <v>41</v>
      </c>
      <c r="AJ1" s="38" t="s">
        <v>42</v>
      </c>
      <c r="AK1" s="38" t="s">
        <v>43</v>
      </c>
      <c r="AL1" s="38" t="s">
        <v>44</v>
      </c>
      <c r="AM1" s="38" t="s">
        <v>45</v>
      </c>
      <c r="AN1" s="38" t="s">
        <v>46</v>
      </c>
      <c r="AO1" s="38" t="s">
        <v>47</v>
      </c>
      <c r="AP1" s="38" t="s">
        <v>48</v>
      </c>
      <c r="AQ1" s="38" t="s">
        <v>49</v>
      </c>
      <c r="AR1" s="38" t="s">
        <v>50</v>
      </c>
      <c r="AS1" s="38" t="s">
        <v>51</v>
      </c>
      <c r="AT1" s="38" t="s">
        <v>52</v>
      </c>
      <c r="AU1" s="38" t="s">
        <v>53</v>
      </c>
      <c r="AV1" s="38" t="s">
        <v>54</v>
      </c>
      <c r="AW1" s="38" t="s">
        <v>55</v>
      </c>
      <c r="AX1" s="40" t="s">
        <v>56</v>
      </c>
      <c r="AY1" s="40" t="s">
        <v>57</v>
      </c>
      <c r="AZ1" s="40" t="s">
        <v>58</v>
      </c>
      <c r="BA1" s="40" t="s">
        <v>59</v>
      </c>
      <c r="BB1" s="40" t="s">
        <v>60</v>
      </c>
      <c r="BC1" s="40" t="s">
        <v>61</v>
      </c>
      <c r="BD1" s="40" t="s">
        <v>62</v>
      </c>
      <c r="BE1" s="40" t="s">
        <v>63</v>
      </c>
      <c r="BF1" s="40" t="s">
        <v>64</v>
      </c>
      <c r="BG1" s="40" t="s">
        <v>65</v>
      </c>
      <c r="BH1" s="40" t="s">
        <v>66</v>
      </c>
      <c r="BI1" s="40" t="s">
        <v>67</v>
      </c>
      <c r="BJ1" s="40" t="s">
        <v>68</v>
      </c>
      <c r="BK1" s="40" t="s">
        <v>69</v>
      </c>
      <c r="BL1" s="40" t="s">
        <v>70</v>
      </c>
      <c r="BM1" s="40" t="s">
        <v>71</v>
      </c>
      <c r="BN1" s="40" t="s">
        <v>144</v>
      </c>
      <c r="BO1" s="40" t="s">
        <v>72</v>
      </c>
      <c r="BP1" s="40" t="s">
        <v>91</v>
      </c>
      <c r="BQ1" s="40" t="s">
        <v>92</v>
      </c>
      <c r="BR1" s="40" t="s">
        <v>93</v>
      </c>
      <c r="BS1" s="40" t="s">
        <v>94</v>
      </c>
      <c r="BT1" s="40" t="s">
        <v>95</v>
      </c>
      <c r="BU1" s="42" t="s">
        <v>73</v>
      </c>
      <c r="BV1" s="42" t="s">
        <v>74</v>
      </c>
      <c r="BW1" s="42" t="s">
        <v>75</v>
      </c>
      <c r="BX1" s="42" t="s">
        <v>76</v>
      </c>
      <c r="BY1" s="42" t="s">
        <v>77</v>
      </c>
      <c r="BZ1" s="42" t="s">
        <v>78</v>
      </c>
      <c r="CA1" s="42" t="s">
        <v>79</v>
      </c>
      <c r="CB1" s="42" t="s">
        <v>80</v>
      </c>
      <c r="CC1" s="42" t="s">
        <v>81</v>
      </c>
      <c r="CD1" s="42" t="s">
        <v>82</v>
      </c>
      <c r="CE1" s="42" t="s">
        <v>83</v>
      </c>
      <c r="CF1" s="42" t="s">
        <v>84</v>
      </c>
      <c r="CG1" s="42" t="s">
        <v>85</v>
      </c>
      <c r="CH1" s="42" t="s">
        <v>86</v>
      </c>
      <c r="CI1" s="42" t="s">
        <v>87</v>
      </c>
      <c r="CJ1" s="42" t="s">
        <v>88</v>
      </c>
      <c r="CK1" s="42" t="s">
        <v>89</v>
      </c>
      <c r="CL1" s="42" t="s">
        <v>90</v>
      </c>
      <c r="CM1" s="44" t="s">
        <v>96</v>
      </c>
      <c r="CN1" s="44" t="s">
        <v>97</v>
      </c>
      <c r="CO1" s="44" t="s">
        <v>98</v>
      </c>
      <c r="CP1" s="44" t="s">
        <v>99</v>
      </c>
      <c r="CQ1" s="44" t="s">
        <v>100</v>
      </c>
      <c r="CR1" s="44" t="s">
        <v>101</v>
      </c>
      <c r="CS1" s="44" t="s">
        <v>102</v>
      </c>
      <c r="CT1" s="44" t="s">
        <v>103</v>
      </c>
      <c r="CU1" s="44" t="s">
        <v>104</v>
      </c>
      <c r="CV1" s="44" t="s">
        <v>105</v>
      </c>
      <c r="CW1" s="44" t="s">
        <v>106</v>
      </c>
      <c r="CX1" s="44" t="s">
        <v>107</v>
      </c>
      <c r="CY1" s="44" t="s">
        <v>108</v>
      </c>
      <c r="CZ1" s="44" t="s">
        <v>109</v>
      </c>
      <c r="DA1" s="44" t="s">
        <v>110</v>
      </c>
      <c r="DB1" s="44" t="s">
        <v>111</v>
      </c>
      <c r="DC1" s="44" t="s">
        <v>112</v>
      </c>
      <c r="DD1" s="44" t="s">
        <v>113</v>
      </c>
      <c r="DE1" s="44" t="s">
        <v>114</v>
      </c>
      <c r="DF1" s="46" t="s">
        <v>115</v>
      </c>
      <c r="DG1" s="46" t="s">
        <v>116</v>
      </c>
      <c r="DH1" s="46" t="s">
        <v>117</v>
      </c>
      <c r="DI1" s="46" t="s">
        <v>118</v>
      </c>
      <c r="DJ1" s="46" t="s">
        <v>119</v>
      </c>
      <c r="DK1" s="46" t="s">
        <v>120</v>
      </c>
      <c r="DL1" s="47" t="s">
        <v>121</v>
      </c>
      <c r="DM1" s="47" t="s">
        <v>209</v>
      </c>
      <c r="DN1" s="47" t="s">
        <v>122</v>
      </c>
      <c r="DO1" s="47" t="s">
        <v>123</v>
      </c>
      <c r="DP1" s="47" t="s">
        <v>124</v>
      </c>
      <c r="DQ1" s="47" t="s">
        <v>125</v>
      </c>
      <c r="DR1" s="47" t="s">
        <v>126</v>
      </c>
    </row>
    <row r="2" spans="1:122" x14ac:dyDescent="0.25">
      <c r="A2" t="s">
        <v>131</v>
      </c>
      <c r="B2">
        <f>SUM(C2:DR2)</f>
        <v>20</v>
      </c>
      <c r="C2" s="58">
        <v>1</v>
      </c>
      <c r="D2" s="58">
        <v>1</v>
      </c>
      <c r="E2" s="58"/>
      <c r="F2" s="58"/>
      <c r="G2" s="58"/>
      <c r="H2" s="58"/>
      <c r="I2" s="58">
        <v>1</v>
      </c>
      <c r="J2" s="58"/>
      <c r="K2" s="59">
        <v>1</v>
      </c>
      <c r="L2" s="59"/>
      <c r="M2" s="59"/>
      <c r="N2" s="59"/>
      <c r="O2" s="59"/>
      <c r="P2" s="59"/>
      <c r="Q2" s="60"/>
      <c r="R2" s="60"/>
      <c r="S2" s="60"/>
      <c r="T2" s="61"/>
      <c r="U2" s="61"/>
      <c r="V2" s="61"/>
      <c r="W2" s="61"/>
      <c r="X2" s="62">
        <v>1</v>
      </c>
      <c r="Y2" s="62"/>
      <c r="Z2" s="62"/>
      <c r="AA2" s="63"/>
      <c r="AB2" s="63"/>
      <c r="AC2" s="63"/>
      <c r="AD2" s="63"/>
      <c r="AE2" s="63"/>
      <c r="AF2" s="64">
        <v>1</v>
      </c>
      <c r="AG2" s="64">
        <v>1</v>
      </c>
      <c r="AH2" s="64">
        <v>1</v>
      </c>
      <c r="AI2" s="64">
        <v>1</v>
      </c>
      <c r="AJ2" s="64">
        <v>1</v>
      </c>
      <c r="AK2" s="64">
        <v>1</v>
      </c>
      <c r="AL2" s="64"/>
      <c r="AM2" s="64"/>
      <c r="AN2" s="64"/>
      <c r="AO2" s="64"/>
      <c r="AP2" s="64"/>
      <c r="AQ2" s="64"/>
      <c r="AR2" s="64"/>
      <c r="AS2" s="64"/>
      <c r="AT2" s="64">
        <v>1</v>
      </c>
      <c r="AU2" s="64">
        <v>1</v>
      </c>
      <c r="AV2" s="64">
        <v>1</v>
      </c>
      <c r="AW2" s="64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6">
        <v>1</v>
      </c>
      <c r="BV2" s="66">
        <v>1</v>
      </c>
      <c r="BW2" s="66">
        <v>1</v>
      </c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67"/>
      <c r="CO2" s="67"/>
      <c r="CP2" s="67"/>
      <c r="CQ2" s="67"/>
      <c r="CR2" s="67"/>
      <c r="CS2" s="67">
        <v>1</v>
      </c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8"/>
      <c r="DG2" s="68"/>
      <c r="DH2" s="68"/>
      <c r="DI2" s="68">
        <v>1</v>
      </c>
      <c r="DJ2" s="68"/>
      <c r="DK2" s="68"/>
      <c r="DL2" s="69">
        <v>1</v>
      </c>
      <c r="DM2" s="69"/>
      <c r="DN2" s="69"/>
      <c r="DO2" s="69"/>
      <c r="DP2" s="69"/>
      <c r="DQ2" s="69"/>
      <c r="DR2" s="69"/>
    </row>
    <row r="3" spans="1:122" x14ac:dyDescent="0.25">
      <c r="A3" t="s">
        <v>132</v>
      </c>
      <c r="B3">
        <f t="shared" ref="B3:B14" si="0">SUM(C3:DR3)</f>
        <v>20</v>
      </c>
      <c r="C3" s="58"/>
      <c r="D3" s="58">
        <v>1</v>
      </c>
      <c r="E3" s="58"/>
      <c r="F3" s="58"/>
      <c r="G3" s="58">
        <v>1</v>
      </c>
      <c r="H3" s="58"/>
      <c r="I3" s="58"/>
      <c r="J3" s="58">
        <v>1</v>
      </c>
      <c r="K3" s="59"/>
      <c r="L3" s="59">
        <v>1</v>
      </c>
      <c r="M3" s="59"/>
      <c r="N3" s="59">
        <v>1</v>
      </c>
      <c r="O3" s="59"/>
      <c r="P3" s="59">
        <v>1</v>
      </c>
      <c r="Q3" s="60">
        <v>1</v>
      </c>
      <c r="R3" s="60"/>
      <c r="S3" s="60"/>
      <c r="T3" s="61"/>
      <c r="U3" s="61">
        <v>1</v>
      </c>
      <c r="V3" s="61"/>
      <c r="W3" s="61"/>
      <c r="X3" s="62"/>
      <c r="Y3" s="62">
        <v>1</v>
      </c>
      <c r="Z3" s="62"/>
      <c r="AA3" s="63"/>
      <c r="AB3" s="63"/>
      <c r="AC3" s="63"/>
      <c r="AD3" s="63"/>
      <c r="AE3" s="63"/>
      <c r="AF3" s="64"/>
      <c r="AG3" s="64"/>
      <c r="AH3" s="64"/>
      <c r="AI3" s="64"/>
      <c r="AJ3" s="64"/>
      <c r="AK3" s="64"/>
      <c r="AL3" s="64">
        <v>1</v>
      </c>
      <c r="AM3" s="64">
        <v>1</v>
      </c>
      <c r="AN3" s="64"/>
      <c r="AO3" s="64">
        <v>1</v>
      </c>
      <c r="AP3" s="64"/>
      <c r="AQ3" s="64"/>
      <c r="AR3" s="64"/>
      <c r="AS3" s="64"/>
      <c r="AT3" s="64">
        <v>1</v>
      </c>
      <c r="AU3" s="64"/>
      <c r="AV3" s="64"/>
      <c r="AW3" s="64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6"/>
      <c r="BW3" s="66"/>
      <c r="BX3" s="66">
        <v>1</v>
      </c>
      <c r="BY3" s="66">
        <v>1</v>
      </c>
      <c r="BZ3" s="66">
        <v>1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7"/>
      <c r="CN3" s="67"/>
      <c r="CO3" s="67"/>
      <c r="CP3" s="67"/>
      <c r="CQ3" s="67">
        <v>1</v>
      </c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8"/>
      <c r="DG3" s="68">
        <v>1</v>
      </c>
      <c r="DH3" s="68"/>
      <c r="DI3" s="68"/>
      <c r="DJ3" s="68"/>
      <c r="DK3" s="68"/>
      <c r="DL3" s="69">
        <v>1</v>
      </c>
      <c r="DM3" s="69"/>
      <c r="DN3" s="69"/>
      <c r="DO3" s="69"/>
      <c r="DP3" s="69"/>
      <c r="DQ3" s="69">
        <v>1</v>
      </c>
      <c r="DR3" s="69"/>
    </row>
    <row r="4" spans="1:122" x14ac:dyDescent="0.25">
      <c r="A4" t="s">
        <v>133</v>
      </c>
      <c r="B4">
        <f t="shared" si="0"/>
        <v>20</v>
      </c>
      <c r="C4" s="58"/>
      <c r="D4" s="58"/>
      <c r="E4" s="58">
        <v>1</v>
      </c>
      <c r="F4" s="58">
        <v>1</v>
      </c>
      <c r="G4" s="58"/>
      <c r="H4" s="58"/>
      <c r="I4" s="58"/>
      <c r="J4" s="58">
        <v>1</v>
      </c>
      <c r="K4" s="59"/>
      <c r="L4" s="59"/>
      <c r="M4" s="59"/>
      <c r="N4" s="59"/>
      <c r="O4" s="59"/>
      <c r="P4" s="59"/>
      <c r="Q4" s="60"/>
      <c r="R4" s="60"/>
      <c r="S4" s="60"/>
      <c r="T4" s="61"/>
      <c r="U4" s="61"/>
      <c r="V4" s="61"/>
      <c r="W4" s="61">
        <v>1</v>
      </c>
      <c r="X4" s="62"/>
      <c r="Y4" s="62"/>
      <c r="Z4" s="62"/>
      <c r="AA4" s="63"/>
      <c r="AB4" s="63"/>
      <c r="AC4" s="63">
        <v>1</v>
      </c>
      <c r="AD4" s="63"/>
      <c r="AE4" s="63"/>
      <c r="AF4" s="64"/>
      <c r="AG4" s="64"/>
      <c r="AH4" s="64">
        <v>1</v>
      </c>
      <c r="AI4" s="64"/>
      <c r="AJ4" s="64">
        <v>1</v>
      </c>
      <c r="AK4" s="64"/>
      <c r="AL4" s="64"/>
      <c r="AM4" s="64"/>
      <c r="AN4" s="64"/>
      <c r="AO4" s="64"/>
      <c r="AP4" s="64">
        <v>1</v>
      </c>
      <c r="AQ4" s="64"/>
      <c r="AR4" s="64"/>
      <c r="AS4" s="64">
        <v>1</v>
      </c>
      <c r="AT4" s="64"/>
      <c r="AU4" s="64"/>
      <c r="AV4" s="64">
        <v>1</v>
      </c>
      <c r="AW4" s="64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>
        <v>1</v>
      </c>
      <c r="BK4" s="65">
        <v>1</v>
      </c>
      <c r="BL4" s="65">
        <v>1</v>
      </c>
      <c r="BM4" s="65">
        <v>1</v>
      </c>
      <c r="BN4" s="65"/>
      <c r="BO4" s="65"/>
      <c r="BP4" s="65"/>
      <c r="BQ4" s="65"/>
      <c r="BR4" s="65"/>
      <c r="BS4" s="65"/>
      <c r="BT4" s="65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7"/>
      <c r="CN4" s="67"/>
      <c r="CO4" s="67"/>
      <c r="CP4" s="67"/>
      <c r="CQ4" s="67">
        <v>1</v>
      </c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8"/>
      <c r="DG4" s="68"/>
      <c r="DH4" s="68"/>
      <c r="DI4" s="68">
        <v>1</v>
      </c>
      <c r="DJ4" s="68"/>
      <c r="DK4" s="68">
        <v>1</v>
      </c>
      <c r="DL4" s="69"/>
      <c r="DM4" s="69"/>
      <c r="DN4" s="69">
        <v>1</v>
      </c>
      <c r="DO4" s="69">
        <v>1</v>
      </c>
      <c r="DP4" s="69"/>
      <c r="DQ4" s="69">
        <v>1</v>
      </c>
      <c r="DR4" s="69"/>
    </row>
    <row r="5" spans="1:122" x14ac:dyDescent="0.25">
      <c r="A5" t="s">
        <v>134</v>
      </c>
      <c r="B5">
        <f t="shared" si="0"/>
        <v>20</v>
      </c>
      <c r="C5" s="58"/>
      <c r="D5" s="58"/>
      <c r="E5" s="58">
        <v>1</v>
      </c>
      <c r="F5" s="58"/>
      <c r="G5" s="58"/>
      <c r="H5" s="58">
        <v>1</v>
      </c>
      <c r="I5" s="58"/>
      <c r="J5" s="58">
        <v>1</v>
      </c>
      <c r="K5" s="59"/>
      <c r="L5" s="59"/>
      <c r="M5" s="59"/>
      <c r="N5" s="59"/>
      <c r="O5" s="59"/>
      <c r="P5" s="59"/>
      <c r="Q5" s="60"/>
      <c r="R5" s="60">
        <v>1</v>
      </c>
      <c r="S5" s="60"/>
      <c r="T5" s="61"/>
      <c r="U5" s="61"/>
      <c r="V5" s="61"/>
      <c r="W5" s="61">
        <v>1</v>
      </c>
      <c r="X5" s="62"/>
      <c r="Y5" s="62"/>
      <c r="Z5" s="62">
        <v>1</v>
      </c>
      <c r="AA5" s="63">
        <v>1</v>
      </c>
      <c r="AB5" s="63"/>
      <c r="AC5" s="63"/>
      <c r="AD5" s="63"/>
      <c r="AE5" s="63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>
        <v>1</v>
      </c>
      <c r="AQ5" s="64">
        <v>1</v>
      </c>
      <c r="AR5" s="64"/>
      <c r="AS5" s="64"/>
      <c r="AT5" s="64"/>
      <c r="AU5" s="64"/>
      <c r="AV5" s="64"/>
      <c r="AW5" s="64"/>
      <c r="AX5" s="65">
        <v>1</v>
      </c>
      <c r="AY5" s="65">
        <v>1</v>
      </c>
      <c r="AZ5" s="65">
        <v>1</v>
      </c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7">
        <v>1</v>
      </c>
      <c r="CN5" s="67"/>
      <c r="CO5" s="67"/>
      <c r="CP5" s="67"/>
      <c r="CQ5" s="67">
        <v>1</v>
      </c>
      <c r="CR5" s="67"/>
      <c r="CS5" s="67"/>
      <c r="CT5" s="67">
        <v>1</v>
      </c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8"/>
      <c r="DG5" s="68"/>
      <c r="DH5" s="68">
        <v>1</v>
      </c>
      <c r="DI5" s="68"/>
      <c r="DJ5" s="68"/>
      <c r="DK5" s="68">
        <v>1</v>
      </c>
      <c r="DL5" s="69"/>
      <c r="DM5" s="69">
        <v>1</v>
      </c>
      <c r="DN5" s="69">
        <v>1</v>
      </c>
      <c r="DO5" s="69">
        <v>1</v>
      </c>
      <c r="DP5" s="69"/>
      <c r="DQ5" s="69"/>
      <c r="DR5" s="69"/>
    </row>
    <row r="6" spans="1:122" x14ac:dyDescent="0.25">
      <c r="A6" t="s">
        <v>135</v>
      </c>
      <c r="B6">
        <f t="shared" si="0"/>
        <v>20</v>
      </c>
      <c r="C6" s="58"/>
      <c r="D6" s="58"/>
      <c r="E6" s="58">
        <v>1</v>
      </c>
      <c r="F6" s="58"/>
      <c r="G6" s="58"/>
      <c r="H6" s="58"/>
      <c r="I6" s="58">
        <v>1</v>
      </c>
      <c r="J6" s="58">
        <v>1</v>
      </c>
      <c r="K6" s="59"/>
      <c r="L6" s="59"/>
      <c r="M6" s="59"/>
      <c r="N6" s="59"/>
      <c r="O6" s="59"/>
      <c r="P6" s="59"/>
      <c r="Q6" s="60"/>
      <c r="R6" s="60">
        <v>1</v>
      </c>
      <c r="S6" s="60"/>
      <c r="T6" s="61">
        <v>1</v>
      </c>
      <c r="U6" s="61"/>
      <c r="V6" s="61">
        <v>1</v>
      </c>
      <c r="W6" s="61"/>
      <c r="X6" s="62"/>
      <c r="Y6" s="62"/>
      <c r="Z6" s="62">
        <v>1</v>
      </c>
      <c r="AA6" s="63"/>
      <c r="AB6" s="63"/>
      <c r="AC6" s="63"/>
      <c r="AD6" s="63"/>
      <c r="AE6" s="63">
        <v>1</v>
      </c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>
        <v>1</v>
      </c>
      <c r="AQ6" s="64">
        <v>1</v>
      </c>
      <c r="AR6" s="64">
        <v>1</v>
      </c>
      <c r="AS6" s="64"/>
      <c r="AT6" s="64"/>
      <c r="AU6" s="64"/>
      <c r="AV6" s="64"/>
      <c r="AW6" s="64"/>
      <c r="AX6" s="65"/>
      <c r="AY6" s="65"/>
      <c r="AZ6" s="65"/>
      <c r="BA6" s="65"/>
      <c r="BB6" s="65"/>
      <c r="BC6" s="65">
        <v>1</v>
      </c>
      <c r="BD6" s="65">
        <v>1</v>
      </c>
      <c r="BE6" s="65"/>
      <c r="BF6" s="65">
        <v>1</v>
      </c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7">
        <v>1</v>
      </c>
      <c r="CN6" s="67"/>
      <c r="CO6" s="67"/>
      <c r="CP6" s="67"/>
      <c r="CQ6" s="67">
        <v>1</v>
      </c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8"/>
      <c r="DG6" s="68"/>
      <c r="DH6" s="68">
        <v>1</v>
      </c>
      <c r="DI6" s="68"/>
      <c r="DJ6" s="68"/>
      <c r="DK6" s="68">
        <v>1</v>
      </c>
      <c r="DL6" s="69"/>
      <c r="DM6" s="69"/>
      <c r="DN6" s="69">
        <v>1</v>
      </c>
      <c r="DO6" s="69"/>
      <c r="DP6" s="69">
        <v>1</v>
      </c>
      <c r="DQ6" s="69"/>
      <c r="DR6" s="69"/>
    </row>
    <row r="7" spans="1:122" x14ac:dyDescent="0.25">
      <c r="A7" t="s">
        <v>136</v>
      </c>
      <c r="B7">
        <f t="shared" si="0"/>
        <v>20</v>
      </c>
      <c r="C7" s="58"/>
      <c r="D7" s="58"/>
      <c r="E7" s="58">
        <v>1</v>
      </c>
      <c r="F7" s="58">
        <v>1</v>
      </c>
      <c r="G7" s="58"/>
      <c r="H7" s="58">
        <v>1</v>
      </c>
      <c r="I7" s="58"/>
      <c r="J7" s="58">
        <v>1</v>
      </c>
      <c r="K7" s="59"/>
      <c r="L7" s="59"/>
      <c r="M7" s="59"/>
      <c r="N7" s="59"/>
      <c r="O7" s="59"/>
      <c r="P7" s="59"/>
      <c r="Q7" s="60"/>
      <c r="R7" s="60">
        <v>1</v>
      </c>
      <c r="S7" s="60">
        <v>1</v>
      </c>
      <c r="T7" s="61"/>
      <c r="U7" s="61"/>
      <c r="V7" s="61"/>
      <c r="W7" s="61">
        <v>1</v>
      </c>
      <c r="X7" s="62"/>
      <c r="Y7" s="62"/>
      <c r="Z7" s="62">
        <v>1</v>
      </c>
      <c r="AA7" s="63"/>
      <c r="AB7" s="63">
        <v>1</v>
      </c>
      <c r="AC7" s="63"/>
      <c r="AD7" s="63"/>
      <c r="AE7" s="63"/>
      <c r="AH7" s="64">
        <v>1</v>
      </c>
      <c r="AJ7" s="64"/>
      <c r="AK7" s="64"/>
      <c r="AL7" s="64"/>
      <c r="AM7" s="64"/>
      <c r="AN7" s="64"/>
      <c r="AO7" s="64"/>
      <c r="AP7" s="64">
        <v>1</v>
      </c>
      <c r="AQ7" s="64">
        <v>1</v>
      </c>
      <c r="AR7" s="64">
        <v>1</v>
      </c>
      <c r="AS7" s="64"/>
      <c r="AT7" s="64"/>
      <c r="AU7" s="64"/>
      <c r="AW7" s="64"/>
      <c r="AX7" s="65"/>
      <c r="AY7" s="65"/>
      <c r="AZ7" s="65"/>
      <c r="BA7" s="65"/>
      <c r="BB7" s="65"/>
      <c r="BC7" s="65"/>
      <c r="BD7" s="65"/>
      <c r="BE7" s="65"/>
      <c r="BF7" s="65">
        <v>1</v>
      </c>
      <c r="BG7" s="65"/>
      <c r="BH7" s="65"/>
      <c r="BI7" s="65"/>
      <c r="BJ7" s="65"/>
      <c r="BK7" s="65"/>
      <c r="BL7" s="65"/>
      <c r="BM7" s="65"/>
      <c r="BN7" s="65">
        <v>1</v>
      </c>
      <c r="BP7" s="65"/>
      <c r="BQ7" s="65"/>
      <c r="BR7" s="65"/>
      <c r="BS7" s="65"/>
      <c r="BT7" s="65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7">
        <v>1</v>
      </c>
      <c r="CN7" s="67"/>
      <c r="CO7" s="67"/>
      <c r="CP7" s="67"/>
      <c r="CQ7" s="67">
        <v>1</v>
      </c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8"/>
      <c r="DG7" s="68"/>
      <c r="DH7" s="68"/>
      <c r="DI7" s="68">
        <v>1</v>
      </c>
      <c r="DJ7" s="68"/>
      <c r="DK7" s="68">
        <v>1</v>
      </c>
      <c r="DL7" s="69"/>
      <c r="DM7" s="69"/>
      <c r="DN7" s="69"/>
      <c r="DO7" s="69"/>
      <c r="DP7" s="69"/>
      <c r="DQ7" s="69"/>
      <c r="DR7" s="69">
        <v>1</v>
      </c>
    </row>
    <row r="8" spans="1:122" x14ac:dyDescent="0.25">
      <c r="A8" t="s">
        <v>137</v>
      </c>
      <c r="B8">
        <f t="shared" si="0"/>
        <v>20</v>
      </c>
      <c r="C8" s="58">
        <v>1</v>
      </c>
      <c r="D8" s="58"/>
      <c r="E8" s="58"/>
      <c r="F8" s="58">
        <v>1</v>
      </c>
      <c r="G8" s="58"/>
      <c r="H8" s="58"/>
      <c r="I8" s="58">
        <v>1</v>
      </c>
      <c r="J8" s="58"/>
      <c r="K8" s="59">
        <v>1</v>
      </c>
      <c r="L8" s="59"/>
      <c r="M8" s="59"/>
      <c r="N8" s="59"/>
      <c r="O8" s="59"/>
      <c r="P8" s="59"/>
      <c r="Q8" s="60"/>
      <c r="R8" s="60"/>
      <c r="S8" s="60"/>
      <c r="T8" s="61"/>
      <c r="U8" s="61"/>
      <c r="V8" s="61"/>
      <c r="W8" s="61">
        <v>1</v>
      </c>
      <c r="X8" s="62">
        <v>1</v>
      </c>
      <c r="Y8" s="62"/>
      <c r="Z8" s="62">
        <v>1</v>
      </c>
      <c r="AA8" s="63"/>
      <c r="AB8" s="63">
        <v>1</v>
      </c>
      <c r="AC8" s="63"/>
      <c r="AD8" s="63"/>
      <c r="AE8" s="63"/>
      <c r="AF8" s="64">
        <v>1</v>
      </c>
      <c r="AG8" s="64">
        <v>1</v>
      </c>
      <c r="AH8" s="64">
        <v>1</v>
      </c>
      <c r="AI8" s="64">
        <v>1</v>
      </c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>
        <v>1</v>
      </c>
      <c r="AW8" s="64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>
        <v>1</v>
      </c>
      <c r="BP8" s="65"/>
      <c r="BQ8" s="65"/>
      <c r="BR8" s="65"/>
      <c r="BS8" s="65"/>
      <c r="BT8" s="65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>
        <v>1</v>
      </c>
      <c r="CG8" s="66">
        <v>1</v>
      </c>
      <c r="CH8" s="66"/>
      <c r="CI8" s="66"/>
      <c r="CJ8" s="66"/>
      <c r="CK8" s="66"/>
      <c r="CL8" s="66"/>
      <c r="CM8" s="67"/>
      <c r="CN8" s="67"/>
      <c r="CO8" s="67"/>
      <c r="CP8" s="67"/>
      <c r="CQ8" s="67"/>
      <c r="CR8" s="67"/>
      <c r="CS8" s="67">
        <v>1</v>
      </c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8">
        <v>1</v>
      </c>
      <c r="DG8" s="68"/>
      <c r="DH8" s="68"/>
      <c r="DI8" s="68"/>
      <c r="DJ8" s="68"/>
      <c r="DK8" s="68">
        <v>1</v>
      </c>
      <c r="DL8" s="69"/>
      <c r="DM8" s="69"/>
      <c r="DN8" s="69"/>
      <c r="DO8" s="69"/>
      <c r="DP8" s="69"/>
      <c r="DQ8" s="69"/>
      <c r="DR8" s="69">
        <v>1</v>
      </c>
    </row>
    <row r="9" spans="1:122" x14ac:dyDescent="0.25">
      <c r="A9" t="s">
        <v>138</v>
      </c>
      <c r="B9">
        <f t="shared" si="0"/>
        <v>20</v>
      </c>
      <c r="C9" s="58"/>
      <c r="D9" s="58">
        <v>1</v>
      </c>
      <c r="E9" s="58"/>
      <c r="F9" s="58"/>
      <c r="G9" s="58"/>
      <c r="H9" s="58">
        <v>1</v>
      </c>
      <c r="I9" s="58"/>
      <c r="J9" s="58">
        <v>1</v>
      </c>
      <c r="K9" s="59">
        <v>1</v>
      </c>
      <c r="L9" s="59">
        <v>1</v>
      </c>
      <c r="M9" s="59">
        <v>1</v>
      </c>
      <c r="N9" s="59"/>
      <c r="O9" s="59">
        <v>1</v>
      </c>
      <c r="P9" s="59">
        <v>1</v>
      </c>
      <c r="Q9" s="60"/>
      <c r="R9" s="60"/>
      <c r="S9" s="60"/>
      <c r="T9" s="61">
        <v>1</v>
      </c>
      <c r="U9" s="61"/>
      <c r="V9" s="61">
        <v>1</v>
      </c>
      <c r="W9" s="61"/>
      <c r="X9" s="62"/>
      <c r="Y9" s="62">
        <v>1</v>
      </c>
      <c r="Z9" s="62"/>
      <c r="AA9" s="63"/>
      <c r="AB9" s="63"/>
      <c r="AC9" s="63"/>
      <c r="AD9" s="63"/>
      <c r="AE9" s="63"/>
      <c r="AF9" s="64">
        <v>1</v>
      </c>
      <c r="AG9" s="64"/>
      <c r="AH9" s="64">
        <v>1</v>
      </c>
      <c r="AI9" s="64"/>
      <c r="AJ9" s="64">
        <v>1</v>
      </c>
      <c r="AK9" s="64"/>
      <c r="AL9" s="64"/>
      <c r="AM9" s="64"/>
      <c r="AN9" s="64"/>
      <c r="AO9" s="64"/>
      <c r="AP9" s="64"/>
      <c r="AQ9" s="64"/>
      <c r="AR9" s="64">
        <v>1</v>
      </c>
      <c r="AS9" s="64">
        <v>1</v>
      </c>
      <c r="AT9" s="64"/>
      <c r="AU9" s="64"/>
      <c r="AV9" s="64"/>
      <c r="AW9" s="64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6"/>
      <c r="BV9" s="66"/>
      <c r="BW9" s="66"/>
      <c r="BX9" s="66"/>
      <c r="BY9" s="66"/>
      <c r="BZ9" s="66"/>
      <c r="CA9" s="66"/>
      <c r="CB9" s="66"/>
      <c r="CC9" s="66">
        <v>1</v>
      </c>
      <c r="CD9" s="66">
        <v>1</v>
      </c>
      <c r="CE9" s="66">
        <v>1</v>
      </c>
      <c r="CF9" s="66"/>
      <c r="CG9" s="66"/>
      <c r="CH9" s="66"/>
      <c r="CI9" s="66"/>
      <c r="CJ9" s="66"/>
      <c r="CK9" s="66"/>
      <c r="CL9" s="66"/>
      <c r="CM9" s="67">
        <v>1</v>
      </c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8"/>
      <c r="DG9" s="68"/>
      <c r="DH9" s="68"/>
      <c r="DI9" s="68"/>
      <c r="DJ9" s="68"/>
      <c r="DK9" s="68"/>
      <c r="DL9" s="69"/>
      <c r="DM9" s="69"/>
      <c r="DN9" s="69"/>
      <c r="DO9" s="69"/>
      <c r="DP9" s="69"/>
      <c r="DQ9" s="69"/>
      <c r="DR9" s="69"/>
    </row>
    <row r="10" spans="1:122" x14ac:dyDescent="0.25">
      <c r="A10" t="s">
        <v>139</v>
      </c>
      <c r="B10">
        <f t="shared" si="0"/>
        <v>20</v>
      </c>
      <c r="C10" s="58"/>
      <c r="D10" s="58"/>
      <c r="E10" s="58">
        <v>1</v>
      </c>
      <c r="F10" s="58"/>
      <c r="G10" s="58"/>
      <c r="H10" s="58"/>
      <c r="I10" s="58">
        <v>1</v>
      </c>
      <c r="J10" s="58">
        <v>1</v>
      </c>
      <c r="K10" s="59"/>
      <c r="L10" s="59"/>
      <c r="M10" s="59"/>
      <c r="N10" s="59"/>
      <c r="O10" s="59"/>
      <c r="P10" s="59">
        <v>1</v>
      </c>
      <c r="Q10" s="60"/>
      <c r="R10" s="60">
        <v>1</v>
      </c>
      <c r="S10" s="60"/>
      <c r="T10" s="61"/>
      <c r="U10" s="61">
        <v>1</v>
      </c>
      <c r="V10" s="61"/>
      <c r="W10" s="61"/>
      <c r="X10" s="62">
        <v>1</v>
      </c>
      <c r="Y10" s="62">
        <v>1</v>
      </c>
      <c r="Z10" s="62"/>
      <c r="AA10" s="63"/>
      <c r="AB10" s="63"/>
      <c r="AC10" s="63"/>
      <c r="AD10" s="63">
        <v>1</v>
      </c>
      <c r="AE10" s="63"/>
      <c r="AF10" s="64"/>
      <c r="AG10" s="64"/>
      <c r="AH10" s="64">
        <v>1</v>
      </c>
      <c r="AI10" s="64">
        <v>1</v>
      </c>
      <c r="AJ10" s="64"/>
      <c r="AK10" s="64"/>
      <c r="AL10" s="64"/>
      <c r="AM10" s="64"/>
      <c r="AN10" s="64"/>
      <c r="AO10" s="64"/>
      <c r="AP10" s="64">
        <v>1</v>
      </c>
      <c r="AQ10" s="64"/>
      <c r="AR10" s="64">
        <v>1</v>
      </c>
      <c r="AS10" s="64">
        <v>1</v>
      </c>
      <c r="AT10" s="64"/>
      <c r="AU10" s="64">
        <v>1</v>
      </c>
      <c r="AV10" s="64"/>
      <c r="AW10" s="64"/>
      <c r="AX10" s="65"/>
      <c r="AY10" s="65"/>
      <c r="AZ10" s="65"/>
      <c r="BA10" s="65"/>
      <c r="BB10" s="65"/>
      <c r="BC10" s="65"/>
      <c r="BD10" s="65"/>
      <c r="BE10" s="65"/>
      <c r="BF10" s="65"/>
      <c r="BG10" s="65">
        <v>1</v>
      </c>
      <c r="BH10" s="65">
        <v>1</v>
      </c>
      <c r="BI10" s="65">
        <v>1</v>
      </c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7"/>
      <c r="CN10" s="67"/>
      <c r="CO10" s="67"/>
      <c r="CP10" s="67"/>
      <c r="CQ10" s="67">
        <v>1</v>
      </c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8"/>
      <c r="DG10" s="68"/>
      <c r="DH10" s="68"/>
      <c r="DI10" s="68"/>
      <c r="DJ10" s="68"/>
      <c r="DK10" s="68"/>
      <c r="DL10" s="69"/>
      <c r="DM10" s="69"/>
      <c r="DN10" s="69"/>
      <c r="DO10" s="69"/>
      <c r="DP10" s="69"/>
      <c r="DQ10" s="69">
        <v>1</v>
      </c>
      <c r="DR10" s="69"/>
    </row>
    <row r="11" spans="1:122" x14ac:dyDescent="0.25">
      <c r="A11" t="s">
        <v>140</v>
      </c>
      <c r="B11">
        <f t="shared" si="0"/>
        <v>20</v>
      </c>
      <c r="C11" s="58">
        <v>1</v>
      </c>
      <c r="D11" s="58">
        <v>1</v>
      </c>
      <c r="E11" s="58"/>
      <c r="F11" s="58"/>
      <c r="G11" s="58"/>
      <c r="H11" s="58"/>
      <c r="I11" s="58">
        <v>1</v>
      </c>
      <c r="J11" s="58"/>
      <c r="K11" s="59">
        <v>1</v>
      </c>
      <c r="L11" s="59"/>
      <c r="M11" s="59"/>
      <c r="N11" s="59"/>
      <c r="O11" s="59"/>
      <c r="P11" s="59"/>
      <c r="Q11" s="60"/>
      <c r="R11" s="60"/>
      <c r="S11" s="60"/>
      <c r="T11" s="61"/>
      <c r="U11" s="61"/>
      <c r="V11" s="61">
        <v>1</v>
      </c>
      <c r="W11" s="61"/>
      <c r="X11" s="62">
        <v>1</v>
      </c>
      <c r="Y11" s="62"/>
      <c r="Z11" s="62"/>
      <c r="AA11" s="63"/>
      <c r="AB11" s="63"/>
      <c r="AC11" s="63"/>
      <c r="AD11" s="63"/>
      <c r="AE11" s="63">
        <v>1</v>
      </c>
      <c r="AF11" s="64">
        <v>1</v>
      </c>
      <c r="AG11" s="64">
        <v>1</v>
      </c>
      <c r="AH11" s="64"/>
      <c r="AI11" s="64"/>
      <c r="AJ11" s="64">
        <v>1</v>
      </c>
      <c r="AK11" s="64">
        <v>1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5"/>
      <c r="AY11" s="65"/>
      <c r="AZ11" s="65"/>
      <c r="BA11" s="65">
        <v>1</v>
      </c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>
        <v>1</v>
      </c>
      <c r="CK11" s="66">
        <v>1</v>
      </c>
      <c r="CL11" s="66">
        <v>1</v>
      </c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8">
        <v>1</v>
      </c>
      <c r="DG11" s="68"/>
      <c r="DH11" s="68"/>
      <c r="DI11" s="68"/>
      <c r="DJ11" s="68"/>
      <c r="DK11" s="68"/>
      <c r="DL11" s="69">
        <v>1</v>
      </c>
      <c r="DM11" s="69">
        <v>1</v>
      </c>
      <c r="DN11" s="69"/>
      <c r="DO11" s="69">
        <v>1</v>
      </c>
      <c r="DP11" s="69">
        <v>1</v>
      </c>
      <c r="DQ11" s="69"/>
      <c r="DR11" s="69"/>
    </row>
    <row r="12" spans="1:122" x14ac:dyDescent="0.25">
      <c r="A12" t="s">
        <v>141</v>
      </c>
      <c r="B12">
        <f t="shared" si="0"/>
        <v>20</v>
      </c>
      <c r="C12" s="58">
        <v>1</v>
      </c>
      <c r="D12" s="58">
        <v>1</v>
      </c>
      <c r="E12" s="58"/>
      <c r="F12" s="58">
        <v>1</v>
      </c>
      <c r="G12" s="58"/>
      <c r="H12" s="58"/>
      <c r="I12" s="58"/>
      <c r="J12" s="58"/>
      <c r="K12" s="59">
        <v>1</v>
      </c>
      <c r="L12" s="59">
        <v>1</v>
      </c>
      <c r="M12" s="59"/>
      <c r="N12" s="59">
        <v>1</v>
      </c>
      <c r="O12" s="59"/>
      <c r="P12" s="59"/>
      <c r="Q12" s="60">
        <v>1</v>
      </c>
      <c r="R12" s="60"/>
      <c r="S12" s="60"/>
      <c r="T12" s="61">
        <v>1</v>
      </c>
      <c r="U12" s="61"/>
      <c r="V12" s="61">
        <v>1</v>
      </c>
      <c r="W12" s="61"/>
      <c r="X12" s="62">
        <v>1</v>
      </c>
      <c r="Y12" s="62"/>
      <c r="Z12" s="62"/>
      <c r="AA12" s="63"/>
      <c r="AB12" s="63"/>
      <c r="AC12" s="63"/>
      <c r="AD12" s="63"/>
      <c r="AE12" s="63">
        <v>1</v>
      </c>
      <c r="AF12" s="64">
        <v>1</v>
      </c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>
        <v>1</v>
      </c>
      <c r="AV12" s="64"/>
      <c r="AW12" s="64"/>
      <c r="AX12" s="65"/>
      <c r="AY12" s="65"/>
      <c r="AZ12" s="65"/>
      <c r="BA12" s="65"/>
      <c r="BB12" s="65"/>
      <c r="BC12" s="65">
        <v>1</v>
      </c>
      <c r="BD12" s="65">
        <v>1</v>
      </c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>
        <v>1</v>
      </c>
      <c r="CI12" s="66">
        <v>1</v>
      </c>
      <c r="CJ12" s="66"/>
      <c r="CK12" s="66"/>
      <c r="CL12" s="66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8"/>
      <c r="DG12" s="68"/>
      <c r="DH12" s="68"/>
      <c r="DI12" s="68"/>
      <c r="DJ12" s="68"/>
      <c r="DK12" s="68">
        <v>1</v>
      </c>
      <c r="DL12" s="69"/>
      <c r="DM12" s="69"/>
      <c r="DN12" s="69">
        <v>1</v>
      </c>
      <c r="DO12" s="69"/>
      <c r="DP12" s="69">
        <v>1</v>
      </c>
      <c r="DQ12" s="69"/>
      <c r="DR12" s="69"/>
    </row>
    <row r="13" spans="1:122" x14ac:dyDescent="0.25">
      <c r="A13" t="s">
        <v>142</v>
      </c>
      <c r="B13">
        <f t="shared" si="0"/>
        <v>20</v>
      </c>
      <c r="C13" s="58"/>
      <c r="D13" s="58">
        <v>1</v>
      </c>
      <c r="E13" s="58"/>
      <c r="F13" s="58"/>
      <c r="G13" s="58"/>
      <c r="H13" s="58"/>
      <c r="I13" s="58">
        <v>1</v>
      </c>
      <c r="J13" s="58">
        <v>1</v>
      </c>
      <c r="K13" s="59">
        <v>1</v>
      </c>
      <c r="L13" s="59"/>
      <c r="M13" s="59"/>
      <c r="N13" s="59"/>
      <c r="O13" s="59"/>
      <c r="P13" s="59"/>
      <c r="Q13" s="60"/>
      <c r="R13" s="60">
        <v>1</v>
      </c>
      <c r="S13" s="60"/>
      <c r="T13" s="61"/>
      <c r="U13" s="61"/>
      <c r="V13" s="61"/>
      <c r="W13" s="61"/>
      <c r="X13" s="62">
        <v>1</v>
      </c>
      <c r="Y13" s="62"/>
      <c r="Z13" s="62"/>
      <c r="AA13" s="63">
        <v>1</v>
      </c>
      <c r="AB13" s="63"/>
      <c r="AC13" s="63"/>
      <c r="AD13" s="63"/>
      <c r="AE13" s="63"/>
      <c r="AF13" s="64"/>
      <c r="AG13" s="64">
        <v>1</v>
      </c>
      <c r="AH13" s="64"/>
      <c r="AI13" s="64"/>
      <c r="AJ13" s="64"/>
      <c r="AK13" s="64"/>
      <c r="AL13" s="64"/>
      <c r="AM13" s="64"/>
      <c r="AN13" s="64"/>
      <c r="AO13" s="64"/>
      <c r="AP13" s="64">
        <v>1</v>
      </c>
      <c r="AQ13" s="64"/>
      <c r="AR13" s="64"/>
      <c r="AS13" s="64"/>
      <c r="AT13" s="64">
        <v>1</v>
      </c>
      <c r="AU13" s="64"/>
      <c r="AV13" s="64"/>
      <c r="AW13" s="64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>
        <v>1</v>
      </c>
      <c r="BQ13" s="65">
        <v>1</v>
      </c>
      <c r="BR13" s="65">
        <v>1</v>
      </c>
      <c r="BS13" s="65">
        <v>1</v>
      </c>
      <c r="BT13" s="65">
        <v>1</v>
      </c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8"/>
      <c r="DG13" s="68"/>
      <c r="DH13" s="68"/>
      <c r="DI13" s="68"/>
      <c r="DJ13" s="68"/>
      <c r="DK13" s="68">
        <v>1</v>
      </c>
      <c r="DL13" s="69"/>
      <c r="DM13" s="69">
        <v>1</v>
      </c>
      <c r="DN13" s="69">
        <v>1</v>
      </c>
      <c r="DO13" s="69">
        <v>1</v>
      </c>
      <c r="DP13" s="69"/>
      <c r="DQ13" s="69">
        <v>1</v>
      </c>
      <c r="DR13" s="69"/>
    </row>
    <row r="14" spans="1:122" x14ac:dyDescent="0.25">
      <c r="A14" t="s">
        <v>143</v>
      </c>
      <c r="B14">
        <f t="shared" si="0"/>
        <v>20</v>
      </c>
      <c r="C14" s="58"/>
      <c r="D14" s="58">
        <v>1</v>
      </c>
      <c r="E14" s="58"/>
      <c r="F14" s="58">
        <v>1</v>
      </c>
      <c r="G14" s="58"/>
      <c r="H14" s="58"/>
      <c r="I14" s="58"/>
      <c r="J14" s="58">
        <v>1</v>
      </c>
      <c r="K14" s="59">
        <v>1</v>
      </c>
      <c r="L14" s="59"/>
      <c r="M14" s="59">
        <v>1</v>
      </c>
      <c r="N14" s="59"/>
      <c r="O14" s="59">
        <v>1</v>
      </c>
      <c r="P14" s="59"/>
      <c r="Q14" s="60"/>
      <c r="R14" s="60">
        <v>1</v>
      </c>
      <c r="S14" s="60"/>
      <c r="T14" s="61"/>
      <c r="U14" s="61"/>
      <c r="V14" s="61"/>
      <c r="W14" s="61">
        <v>1</v>
      </c>
      <c r="X14" s="62"/>
      <c r="Y14" s="62">
        <v>1</v>
      </c>
      <c r="Z14" s="62"/>
      <c r="AA14" s="63"/>
      <c r="AB14" s="63"/>
      <c r="AC14" s="63">
        <v>1</v>
      </c>
      <c r="AD14" s="63"/>
      <c r="AE14" s="63"/>
      <c r="AF14" s="64">
        <v>1</v>
      </c>
      <c r="AG14" s="64"/>
      <c r="AH14" s="64"/>
      <c r="AI14" s="64"/>
      <c r="AJ14" s="64"/>
      <c r="AK14" s="64"/>
      <c r="AL14" s="64"/>
      <c r="AM14" s="64"/>
      <c r="AN14" s="64"/>
      <c r="AO14" s="64"/>
      <c r="AP14" s="64">
        <v>1</v>
      </c>
      <c r="AQ14" s="64"/>
      <c r="AR14" s="64"/>
      <c r="AS14" s="64">
        <v>1</v>
      </c>
      <c r="AT14" s="64"/>
      <c r="AU14" s="64"/>
      <c r="AV14" s="64"/>
      <c r="AW14" s="64">
        <v>1</v>
      </c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O14" s="65">
        <v>1</v>
      </c>
      <c r="BP14" s="65"/>
      <c r="BQ14" s="65"/>
      <c r="BR14" s="65"/>
      <c r="BS14" s="65"/>
      <c r="BT14" s="65"/>
      <c r="BU14" s="66"/>
      <c r="BV14" s="66"/>
      <c r="BW14" s="66"/>
      <c r="BX14" s="66"/>
      <c r="BY14" s="66"/>
      <c r="BZ14" s="66"/>
      <c r="CA14" s="66">
        <v>1</v>
      </c>
      <c r="CB14" s="66">
        <v>1</v>
      </c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8"/>
      <c r="DG14" s="68"/>
      <c r="DH14" s="68"/>
      <c r="DI14" s="68"/>
      <c r="DJ14" s="68"/>
      <c r="DK14" s="68"/>
      <c r="DL14" s="69">
        <v>1</v>
      </c>
      <c r="DM14" s="69"/>
      <c r="DN14" s="69"/>
      <c r="DO14" s="69">
        <v>1</v>
      </c>
      <c r="DP14" s="69"/>
      <c r="DQ14" s="69">
        <v>1</v>
      </c>
      <c r="DR14" s="6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C6EE-B983-4D1D-A72C-FA19FDCFD709}">
  <sheetPr codeName="Hoja5"/>
  <dimension ref="A1:BA39"/>
  <sheetViews>
    <sheetView workbookViewId="0">
      <pane xSplit="2" ySplit="1" topLeftCell="V26" activePane="bottomRight" state="frozen"/>
      <selection sqref="A1:XFD1048576"/>
      <selection pane="topRight" sqref="A1:XFD1048576"/>
      <selection pane="bottomLeft" sqref="A1:XFD1048576"/>
      <selection pane="bottomRight" activeCell="A29" sqref="A29:XFD29"/>
    </sheetView>
  </sheetViews>
  <sheetFormatPr baseColWidth="10" defaultColWidth="12.42578125" defaultRowHeight="15" x14ac:dyDescent="0.25"/>
  <cols>
    <col min="1" max="1" width="28" customWidth="1"/>
    <col min="2" max="2" width="5.42578125" bestFit="1" customWidth="1"/>
    <col min="3" max="47" width="20.7109375" customWidth="1"/>
    <col min="48" max="48" width="18.7109375" customWidth="1"/>
    <col min="49" max="49" width="20.7109375" customWidth="1"/>
    <col min="50" max="50" width="21.85546875" customWidth="1"/>
    <col min="51" max="51" width="25.28515625" customWidth="1"/>
    <col min="52" max="52" width="23.28515625" customWidth="1"/>
  </cols>
  <sheetData>
    <row r="1" spans="1:53" s="124" customFormat="1" ht="255" x14ac:dyDescent="0.25">
      <c r="B1" s="167" t="s">
        <v>127</v>
      </c>
      <c r="C1" s="124" t="s">
        <v>211</v>
      </c>
      <c r="D1" s="124" t="s">
        <v>212</v>
      </c>
      <c r="E1" s="124" t="s">
        <v>213</v>
      </c>
      <c r="F1" s="124" t="s">
        <v>214</v>
      </c>
      <c r="G1" s="124" t="s">
        <v>215</v>
      </c>
      <c r="H1" s="124" t="s">
        <v>216</v>
      </c>
      <c r="I1" s="124" t="s">
        <v>217</v>
      </c>
      <c r="J1" s="124" t="s">
        <v>219</v>
      </c>
      <c r="K1" s="124" t="s">
        <v>220</v>
      </c>
      <c r="L1" s="124" t="s">
        <v>222</v>
      </c>
      <c r="M1" s="124" t="s">
        <v>218</v>
      </c>
      <c r="N1" s="124" t="s">
        <v>221</v>
      </c>
      <c r="O1" s="124" t="s">
        <v>223</v>
      </c>
      <c r="P1" s="124" t="s">
        <v>224</v>
      </c>
      <c r="Q1" s="124" t="s">
        <v>225</v>
      </c>
      <c r="R1" s="124" t="s">
        <v>226</v>
      </c>
      <c r="S1" s="124" t="s">
        <v>227</v>
      </c>
      <c r="T1" s="124" t="s">
        <v>228</v>
      </c>
      <c r="U1" s="124" t="s">
        <v>229</v>
      </c>
      <c r="V1" s="124" t="s">
        <v>230</v>
      </c>
      <c r="W1" s="124" t="s">
        <v>231</v>
      </c>
      <c r="X1" s="124" t="s">
        <v>232</v>
      </c>
      <c r="Y1" s="124" t="s">
        <v>233</v>
      </c>
      <c r="Z1" s="124" t="s">
        <v>234</v>
      </c>
      <c r="AA1" s="124" t="s">
        <v>237</v>
      </c>
      <c r="AB1" s="124" t="s">
        <v>238</v>
      </c>
      <c r="AC1" s="124" t="s">
        <v>239</v>
      </c>
      <c r="AD1" s="124" t="s">
        <v>240</v>
      </c>
      <c r="AE1" s="124" t="s">
        <v>241</v>
      </c>
      <c r="AF1" s="124" t="s">
        <v>243</v>
      </c>
      <c r="AG1" s="124" t="s">
        <v>242</v>
      </c>
      <c r="AH1" s="124" t="s">
        <v>244</v>
      </c>
      <c r="AI1" s="124" t="s">
        <v>245</v>
      </c>
      <c r="AJ1" s="124" t="s">
        <v>246</v>
      </c>
      <c r="AK1" s="124" t="s">
        <v>247</v>
      </c>
      <c r="AL1" s="124" t="s">
        <v>248</v>
      </c>
      <c r="AM1" s="124" t="s">
        <v>249</v>
      </c>
      <c r="AN1" s="124" t="s">
        <v>250</v>
      </c>
      <c r="AO1" s="124" t="s">
        <v>251</v>
      </c>
      <c r="AP1" s="124" t="s">
        <v>252</v>
      </c>
      <c r="AQ1" s="124" t="s">
        <v>253</v>
      </c>
      <c r="AR1" s="124" t="s">
        <v>254</v>
      </c>
      <c r="AS1" s="124" t="s">
        <v>255</v>
      </c>
      <c r="AT1" s="124" t="s">
        <v>256</v>
      </c>
      <c r="AU1" s="124" t="s">
        <v>257</v>
      </c>
      <c r="AV1" s="124" t="s">
        <v>264</v>
      </c>
      <c r="AW1" s="124" t="s">
        <v>263</v>
      </c>
      <c r="AX1" s="124" t="s">
        <v>258</v>
      </c>
      <c r="AY1" s="124" t="s">
        <v>259</v>
      </c>
      <c r="AZ1" s="124" t="s">
        <v>260</v>
      </c>
      <c r="BA1" s="124" t="s">
        <v>262</v>
      </c>
    </row>
    <row r="2" spans="1:53" x14ac:dyDescent="0.25">
      <c r="A2" s="70" t="s">
        <v>154</v>
      </c>
      <c r="B2">
        <f>SUM(C2:AAC2)</f>
        <v>3</v>
      </c>
      <c r="C2">
        <v>2</v>
      </c>
      <c r="D2">
        <v>1</v>
      </c>
      <c r="BA2" t="s">
        <v>261</v>
      </c>
    </row>
    <row r="3" spans="1:53" x14ac:dyDescent="0.25">
      <c r="A3" s="70" t="s">
        <v>155</v>
      </c>
      <c r="B3">
        <f t="shared" ref="B3:B39" si="0">SUM(C3:AAC3)</f>
        <v>2</v>
      </c>
      <c r="C3">
        <v>2</v>
      </c>
    </row>
    <row r="4" spans="1:53" x14ac:dyDescent="0.25">
      <c r="A4" s="70" t="s">
        <v>156</v>
      </c>
      <c r="B4">
        <f t="shared" si="0"/>
        <v>2</v>
      </c>
      <c r="C4">
        <v>2</v>
      </c>
    </row>
    <row r="5" spans="1:53" x14ac:dyDescent="0.25">
      <c r="A5" s="70" t="s">
        <v>157</v>
      </c>
      <c r="B5">
        <f t="shared" si="0"/>
        <v>2</v>
      </c>
      <c r="C5">
        <v>2</v>
      </c>
    </row>
    <row r="6" spans="1:53" x14ac:dyDescent="0.25">
      <c r="A6" s="70" t="s">
        <v>158</v>
      </c>
      <c r="B6">
        <f t="shared" si="0"/>
        <v>3</v>
      </c>
      <c r="C6">
        <v>2</v>
      </c>
      <c r="E6">
        <v>1</v>
      </c>
    </row>
    <row r="7" spans="1:53" x14ac:dyDescent="0.25">
      <c r="A7" s="70" t="s">
        <v>159</v>
      </c>
      <c r="B7">
        <f t="shared" si="0"/>
        <v>3</v>
      </c>
      <c r="C7">
        <v>2</v>
      </c>
      <c r="G7">
        <v>1</v>
      </c>
    </row>
    <row r="8" spans="1:53" x14ac:dyDescent="0.25">
      <c r="A8" s="70" t="s">
        <v>160</v>
      </c>
      <c r="B8">
        <f t="shared" si="0"/>
        <v>3</v>
      </c>
      <c r="C8">
        <v>2</v>
      </c>
      <c r="F8">
        <v>1</v>
      </c>
    </row>
    <row r="9" spans="1:53" x14ac:dyDescent="0.25">
      <c r="A9" s="71" t="s">
        <v>161</v>
      </c>
      <c r="B9">
        <f t="shared" si="0"/>
        <v>2</v>
      </c>
      <c r="H9">
        <v>1</v>
      </c>
      <c r="I9">
        <v>1</v>
      </c>
    </row>
    <row r="10" spans="1:53" x14ac:dyDescent="0.25">
      <c r="A10" s="71" t="s">
        <v>162</v>
      </c>
      <c r="B10">
        <f t="shared" si="0"/>
        <v>3</v>
      </c>
      <c r="J10">
        <v>1</v>
      </c>
      <c r="K10">
        <v>1</v>
      </c>
      <c r="L10">
        <v>1</v>
      </c>
    </row>
    <row r="11" spans="1:53" x14ac:dyDescent="0.25">
      <c r="A11" s="71" t="s">
        <v>163</v>
      </c>
      <c r="B11">
        <f t="shared" si="0"/>
        <v>2</v>
      </c>
      <c r="M11">
        <v>1</v>
      </c>
      <c r="N11">
        <v>1</v>
      </c>
    </row>
    <row r="12" spans="1:53" x14ac:dyDescent="0.25">
      <c r="A12" s="72" t="s">
        <v>164</v>
      </c>
      <c r="B12">
        <f t="shared" si="0"/>
        <v>1</v>
      </c>
      <c r="O12">
        <v>1</v>
      </c>
    </row>
    <row r="13" spans="1:53" x14ac:dyDescent="0.25">
      <c r="A13" s="72" t="s">
        <v>235</v>
      </c>
      <c r="B13">
        <f t="shared" si="0"/>
        <v>3</v>
      </c>
      <c r="O13">
        <v>1</v>
      </c>
      <c r="P13">
        <v>1</v>
      </c>
      <c r="Q13">
        <v>1</v>
      </c>
    </row>
    <row r="14" spans="1:53" x14ac:dyDescent="0.25">
      <c r="A14" s="73" t="s">
        <v>165</v>
      </c>
      <c r="B14">
        <f t="shared" si="0"/>
        <v>1</v>
      </c>
      <c r="R14">
        <v>1</v>
      </c>
    </row>
    <row r="15" spans="1:53" x14ac:dyDescent="0.25">
      <c r="A15" s="73" t="s">
        <v>166</v>
      </c>
      <c r="B15">
        <f t="shared" si="0"/>
        <v>0</v>
      </c>
    </row>
    <row r="16" spans="1:53" x14ac:dyDescent="0.25">
      <c r="A16" s="74" t="s">
        <v>0</v>
      </c>
      <c r="B16">
        <f t="shared" si="0"/>
        <v>1</v>
      </c>
      <c r="S16">
        <v>1</v>
      </c>
    </row>
    <row r="17" spans="1:39" x14ac:dyDescent="0.25">
      <c r="A17" s="75" t="s">
        <v>167</v>
      </c>
      <c r="B17">
        <f t="shared" si="0"/>
        <v>2</v>
      </c>
      <c r="T17">
        <v>1</v>
      </c>
      <c r="U17">
        <v>1</v>
      </c>
    </row>
    <row r="18" spans="1:39" x14ac:dyDescent="0.25">
      <c r="A18" s="75" t="s">
        <v>168</v>
      </c>
      <c r="B18">
        <f t="shared" si="0"/>
        <v>4</v>
      </c>
      <c r="V18">
        <v>1</v>
      </c>
      <c r="W18">
        <v>1</v>
      </c>
      <c r="X18">
        <v>1</v>
      </c>
      <c r="Y18">
        <v>1</v>
      </c>
    </row>
    <row r="19" spans="1:39" x14ac:dyDescent="0.25">
      <c r="A19" s="75" t="s">
        <v>1</v>
      </c>
      <c r="B19">
        <f t="shared" si="0"/>
        <v>1</v>
      </c>
      <c r="Z19">
        <v>1</v>
      </c>
    </row>
    <row r="20" spans="1:39" x14ac:dyDescent="0.25">
      <c r="A20" s="76" t="s">
        <v>2</v>
      </c>
      <c r="B20">
        <f t="shared" si="0"/>
        <v>0</v>
      </c>
    </row>
    <row r="21" spans="1:39" x14ac:dyDescent="0.25">
      <c r="A21" s="77" t="s">
        <v>3</v>
      </c>
      <c r="B21">
        <f t="shared" si="0"/>
        <v>2</v>
      </c>
      <c r="AB21">
        <v>1</v>
      </c>
      <c r="AC21">
        <v>1</v>
      </c>
    </row>
    <row r="22" spans="1:39" x14ac:dyDescent="0.25">
      <c r="A22" s="78" t="s">
        <v>169</v>
      </c>
      <c r="B22">
        <f t="shared" si="0"/>
        <v>1</v>
      </c>
      <c r="AD22">
        <v>1</v>
      </c>
    </row>
    <row r="23" spans="1:39" x14ac:dyDescent="0.25">
      <c r="A23" s="78" t="s">
        <v>170</v>
      </c>
      <c r="B23">
        <f t="shared" si="0"/>
        <v>1</v>
      </c>
      <c r="AE23">
        <v>1</v>
      </c>
    </row>
    <row r="24" spans="1:39" x14ac:dyDescent="0.25">
      <c r="A24" s="72" t="s">
        <v>171</v>
      </c>
      <c r="B24">
        <f t="shared" si="0"/>
        <v>3</v>
      </c>
      <c r="AF24">
        <v>1</v>
      </c>
      <c r="AG24">
        <v>1</v>
      </c>
      <c r="AH24">
        <v>1</v>
      </c>
    </row>
    <row r="25" spans="1:39" x14ac:dyDescent="0.25">
      <c r="A25" s="72" t="s">
        <v>172</v>
      </c>
      <c r="B25">
        <f t="shared" si="0"/>
        <v>2</v>
      </c>
      <c r="AF25">
        <v>1</v>
      </c>
      <c r="AI25">
        <v>1</v>
      </c>
    </row>
    <row r="26" spans="1:39" x14ac:dyDescent="0.25">
      <c r="A26" s="72" t="s">
        <v>173</v>
      </c>
      <c r="B26">
        <f t="shared" si="0"/>
        <v>1</v>
      </c>
      <c r="AF26">
        <v>1</v>
      </c>
    </row>
    <row r="27" spans="1:39" x14ac:dyDescent="0.25">
      <c r="A27" s="72" t="s">
        <v>174</v>
      </c>
      <c r="B27">
        <f t="shared" si="0"/>
        <v>1</v>
      </c>
      <c r="AF27">
        <v>1</v>
      </c>
    </row>
    <row r="28" spans="1:39" x14ac:dyDescent="0.25">
      <c r="A28" s="72" t="s">
        <v>175</v>
      </c>
      <c r="B28">
        <f t="shared" si="0"/>
        <v>1</v>
      </c>
      <c r="AF28">
        <v>1</v>
      </c>
    </row>
    <row r="29" spans="1:39" x14ac:dyDescent="0.25">
      <c r="A29" s="72" t="s">
        <v>176</v>
      </c>
      <c r="B29">
        <f t="shared" si="0"/>
        <v>1</v>
      </c>
      <c r="AF29">
        <v>1</v>
      </c>
    </row>
    <row r="30" spans="1:39" x14ac:dyDescent="0.25">
      <c r="A30" s="79" t="s">
        <v>177</v>
      </c>
      <c r="B30">
        <f t="shared" si="0"/>
        <v>1</v>
      </c>
      <c r="AJ30">
        <v>1</v>
      </c>
    </row>
    <row r="31" spans="1:39" x14ac:dyDescent="0.25">
      <c r="A31" s="79" t="s">
        <v>178</v>
      </c>
      <c r="B31">
        <f t="shared" si="0"/>
        <v>1</v>
      </c>
      <c r="AK31">
        <v>1</v>
      </c>
    </row>
    <row r="32" spans="1:39" x14ac:dyDescent="0.25">
      <c r="A32" s="80" t="s">
        <v>4</v>
      </c>
      <c r="B32">
        <f t="shared" si="0"/>
        <v>2</v>
      </c>
      <c r="AL32">
        <v>1</v>
      </c>
      <c r="AM32">
        <v>1</v>
      </c>
    </row>
    <row r="33" spans="1:53" x14ac:dyDescent="0.25">
      <c r="A33" s="81" t="s">
        <v>5</v>
      </c>
      <c r="B33">
        <f t="shared" si="0"/>
        <v>2</v>
      </c>
      <c r="AN33">
        <v>1</v>
      </c>
      <c r="AO33">
        <v>1</v>
      </c>
    </row>
    <row r="34" spans="1:53" x14ac:dyDescent="0.25">
      <c r="A34" s="84" t="s">
        <v>130</v>
      </c>
      <c r="B34">
        <f t="shared" si="0"/>
        <v>2</v>
      </c>
      <c r="AP34">
        <v>1</v>
      </c>
      <c r="AQ34">
        <v>1</v>
      </c>
    </row>
    <row r="35" spans="1:53" x14ac:dyDescent="0.25">
      <c r="A35" s="82" t="s">
        <v>6</v>
      </c>
      <c r="B35">
        <f t="shared" si="0"/>
        <v>1</v>
      </c>
      <c r="AR35">
        <v>1</v>
      </c>
    </row>
    <row r="36" spans="1:53" x14ac:dyDescent="0.25">
      <c r="A36" s="77" t="s">
        <v>7</v>
      </c>
      <c r="B36">
        <f t="shared" si="0"/>
        <v>1</v>
      </c>
      <c r="AS36">
        <v>1</v>
      </c>
    </row>
    <row r="37" spans="1:53" x14ac:dyDescent="0.25">
      <c r="A37" t="s">
        <v>8</v>
      </c>
      <c r="B37">
        <f t="shared" si="0"/>
        <v>2</v>
      </c>
      <c r="AT37">
        <v>1</v>
      </c>
      <c r="AU37">
        <v>1</v>
      </c>
    </row>
    <row r="38" spans="1:53" x14ac:dyDescent="0.25">
      <c r="A38" s="83" t="s">
        <v>9</v>
      </c>
      <c r="B38">
        <f t="shared" si="0"/>
        <v>2</v>
      </c>
      <c r="AV38">
        <v>1</v>
      </c>
      <c r="AW38">
        <v>1</v>
      </c>
    </row>
    <row r="39" spans="1:53" s="129" customFormat="1" x14ac:dyDescent="0.25">
      <c r="A39" s="128" t="s">
        <v>10</v>
      </c>
      <c r="B39" s="129">
        <f t="shared" si="0"/>
        <v>3</v>
      </c>
      <c r="AX39" s="129">
        <v>1</v>
      </c>
      <c r="AY39" s="129">
        <v>1</v>
      </c>
      <c r="BA39" s="1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Ficha completa</vt:lpstr>
      <vt:lpstr>Ficha inicial</vt:lpstr>
      <vt:lpstr>Razas</vt:lpstr>
      <vt:lpstr>Clases</vt:lpstr>
      <vt:lpstr>Raciales Especiales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Ibon Moya Peralta</dc:creator>
  <cp:lastModifiedBy>Ibon Moya Peralta</cp:lastModifiedBy>
  <cp:lastPrinted>2024-07-15T17:35:55Z</cp:lastPrinted>
  <dcterms:created xsi:type="dcterms:W3CDTF">2024-07-15T09:00:27Z</dcterms:created>
  <dcterms:modified xsi:type="dcterms:W3CDTF">2024-08-17T01:17:01Z</dcterms:modified>
</cp:coreProperties>
</file>