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79ee28c8ab4d6b/WoW Juego de Rol/fichas/Fichas/Proyecto fichas/"/>
    </mc:Choice>
  </mc:AlternateContent>
  <xr:revisionPtr revIDLastSave="50" documentId="10_ncr:200_{054AA371-604E-43FC-B1CB-CBB75EC0F6AB}" xr6:coauthVersionLast="47" xr6:coauthVersionMax="47" xr10:uidLastSave="{D1E5774D-12A0-4B9C-8175-BD5057B56B81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state="hidden" r:id="rId2"/>
    <sheet name="Razas" sheetId="1" state="hidden" r:id="rId3"/>
    <sheet name="Clases" sheetId="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1" i="4" l="1"/>
  <c r="L13" i="4" s="1"/>
  <c r="H3" i="4"/>
  <c r="M32" i="4"/>
  <c r="M33" i="4"/>
  <c r="N32" i="4"/>
  <c r="N33" i="4"/>
  <c r="M25" i="4"/>
  <c r="M26" i="4"/>
  <c r="L27" i="4"/>
  <c r="H26" i="4"/>
  <c r="L4" i="4"/>
  <c r="H15" i="4"/>
  <c r="H9" i="4"/>
  <c r="H4" i="4"/>
  <c r="D13" i="4"/>
  <c r="D4" i="4"/>
  <c r="M8" i="4"/>
  <c r="M9" i="4"/>
  <c r="M10" i="4"/>
  <c r="M11" i="4"/>
  <c r="M12" i="4"/>
  <c r="I21" i="4"/>
  <c r="J21" i="4" s="1"/>
  <c r="I22" i="4"/>
  <c r="J22" i="4" s="1"/>
  <c r="I23" i="4"/>
  <c r="J23" i="4" s="1"/>
  <c r="N25" i="4"/>
  <c r="N26" i="4"/>
  <c r="N8" i="4"/>
  <c r="N9" i="4"/>
  <c r="N10" i="4"/>
  <c r="N11" i="4"/>
  <c r="N12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B35" i="1"/>
  <c r="B32" i="1"/>
  <c r="B33" i="1"/>
  <c r="B34" i="1"/>
  <c r="B36" i="1"/>
  <c r="B37" i="1"/>
  <c r="B38" i="1"/>
  <c r="B39" i="1"/>
  <c r="B40" i="1"/>
  <c r="B31" i="1"/>
  <c r="B25" i="1"/>
  <c r="B26" i="1"/>
  <c r="B27" i="1"/>
  <c r="B28" i="1"/>
  <c r="B29" i="1"/>
  <c r="B30" i="1"/>
  <c r="B24" i="1"/>
  <c r="B23" i="1"/>
  <c r="B22" i="1"/>
  <c r="B18" i="1"/>
  <c r="B19" i="1"/>
  <c r="B20" i="1"/>
  <c r="B21" i="1"/>
  <c r="B17" i="1"/>
  <c r="B15" i="1"/>
  <c r="B16" i="1"/>
  <c r="B14" i="1"/>
  <c r="B13" i="1"/>
  <c r="B12" i="1"/>
  <c r="B10" i="1"/>
  <c r="B11" i="1"/>
  <c r="B9" i="1"/>
  <c r="B4" i="1"/>
  <c r="B5" i="1"/>
  <c r="B6" i="1"/>
  <c r="B7" i="1"/>
  <c r="B8" i="1"/>
  <c r="B3" i="1"/>
  <c r="B2" i="1"/>
  <c r="BW4" i="3" l="1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N3" i="3"/>
  <c r="CE3" i="3"/>
  <c r="CD3" i="3"/>
  <c r="DQ4" i="3"/>
  <c r="AU4" i="3"/>
  <c r="G4" i="3"/>
  <c r="G2" i="3" s="1"/>
  <c r="E9" i="4" s="1"/>
  <c r="DO4" i="3"/>
  <c r="AJ4" i="3"/>
  <c r="BP4" i="3"/>
  <c r="BQ4" i="3"/>
  <c r="BM4" i="3"/>
  <c r="BK4" i="3"/>
  <c r="BJ4" i="3"/>
  <c r="DR4" i="3"/>
  <c r="AK4" i="3"/>
  <c r="DN4" i="3"/>
  <c r="AI4" i="3"/>
  <c r="CZ4" i="3"/>
  <c r="T4" i="3"/>
  <c r="BN4" i="3"/>
  <c r="B4" i="3"/>
  <c r="DU4" i="3"/>
  <c r="DM4" i="3"/>
  <c r="CY4" i="3"/>
  <c r="S4" i="3"/>
  <c r="BO4" i="3"/>
  <c r="DT4" i="3"/>
  <c r="DS4" i="3"/>
  <c r="AH4" i="3"/>
  <c r="CX4" i="3"/>
  <c r="R4" i="3"/>
  <c r="BL4" i="3"/>
  <c r="AV4" i="3"/>
  <c r="DP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DL4" i="3"/>
  <c r="CH4" i="3"/>
  <c r="AD4" i="3"/>
  <c r="DF4" i="3"/>
  <c r="CD4" i="3"/>
  <c r="BB4" i="3"/>
  <c r="Z4" i="3"/>
  <c r="BE4" i="3"/>
  <c r="AB4" i="3"/>
  <c r="DG4" i="3"/>
  <c r="DE4" i="3"/>
  <c r="CC4" i="3"/>
  <c r="BA4" i="3"/>
  <c r="Y4" i="3"/>
  <c r="CF4" i="3"/>
  <c r="BC4" i="3"/>
  <c r="DD4" i="3"/>
  <c r="CB4" i="3"/>
  <c r="AZ4" i="3"/>
  <c r="X4" i="3"/>
  <c r="E4" i="3"/>
  <c r="BG4" i="3"/>
  <c r="DC4" i="3"/>
  <c r="CA4" i="3"/>
  <c r="AY4" i="3"/>
  <c r="W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M3" i="3"/>
  <c r="Z3" i="3"/>
  <c r="DB3" i="3"/>
  <c r="BD3" i="3"/>
  <c r="L3" i="3"/>
  <c r="DH3" i="3"/>
  <c r="V3" i="3"/>
  <c r="DA3" i="3"/>
  <c r="BC3" i="3"/>
  <c r="F3" i="3"/>
  <c r="BI3" i="3"/>
  <c r="BI2" i="3" s="1"/>
  <c r="DF3" i="3"/>
  <c r="T3" i="3"/>
  <c r="T2" i="3" s="1"/>
  <c r="E23" i="4" s="1"/>
  <c r="CZ3" i="3"/>
  <c r="BB3" i="3"/>
  <c r="E3" i="3"/>
  <c r="AB3" i="3"/>
  <c r="X3" i="3"/>
  <c r="W3" i="3"/>
  <c r="CY3" i="3"/>
  <c r="BA3" i="3"/>
  <c r="D3" i="3"/>
  <c r="BV3" i="3"/>
  <c r="BH3" i="3"/>
  <c r="CX3" i="3"/>
  <c r="DL3" i="3"/>
  <c r="BX3" i="3"/>
  <c r="DJ3" i="3"/>
  <c r="BW3" i="3"/>
  <c r="Y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CK2" i="3" s="1"/>
  <c r="AX3" i="3"/>
  <c r="CV3" i="3"/>
  <c r="BT3" i="3"/>
  <c r="AR3" i="3"/>
  <c r="P3" i="3"/>
  <c r="DU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AQ2" i="3" s="1"/>
  <c r="O3" i="3"/>
  <c r="B3" i="3"/>
  <c r="BR3" i="3"/>
  <c r="AP3" i="3"/>
  <c r="DT3" i="3"/>
  <c r="CR3" i="3"/>
  <c r="DQ3" i="3"/>
  <c r="CO3" i="3"/>
  <c r="BM3" i="3"/>
  <c r="AK3" i="3"/>
  <c r="I3" i="3"/>
  <c r="BU3" i="3"/>
  <c r="Q3" i="3"/>
  <c r="BL3" i="3"/>
  <c r="DP3" i="3"/>
  <c r="CN3" i="3"/>
  <c r="AJ3" i="3"/>
  <c r="H3" i="3"/>
  <c r="DO3" i="3"/>
  <c r="CM3" i="3"/>
  <c r="BK3" i="3"/>
  <c r="AI3" i="3"/>
  <c r="CW2" i="3" l="1"/>
  <c r="J2" i="3"/>
  <c r="E12" i="4" s="1"/>
  <c r="F12" i="4" s="1"/>
  <c r="AA2" i="3"/>
  <c r="I10" i="4" s="1"/>
  <c r="J10" i="4" s="1"/>
  <c r="BK2" i="3"/>
  <c r="BJ2" i="3"/>
  <c r="BN2" i="3"/>
  <c r="F2" i="3"/>
  <c r="E8" i="4" s="1"/>
  <c r="DO2" i="3"/>
  <c r="E29" i="4" s="1"/>
  <c r="F29" i="4" s="1"/>
  <c r="BP2" i="3"/>
  <c r="CL2" i="3"/>
  <c r="C2" i="3"/>
  <c r="E5" i="4" s="1"/>
  <c r="F5" i="4" s="1"/>
  <c r="BW2" i="3"/>
  <c r="DP2" i="3"/>
  <c r="E30" i="4" s="1"/>
  <c r="F30" i="4" s="1"/>
  <c r="BX2" i="3"/>
  <c r="H2" i="3"/>
  <c r="E10" i="4" s="1"/>
  <c r="F10" i="4" s="1"/>
  <c r="AU2" i="3"/>
  <c r="M23" i="4" s="1"/>
  <c r="N23" i="4" s="1"/>
  <c r="AV2" i="3"/>
  <c r="M24" i="4" s="1"/>
  <c r="N24" i="4" s="1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L2" i="3"/>
  <c r="DR2" i="3"/>
  <c r="E32" i="4" s="1"/>
  <c r="F32" i="4" s="1"/>
  <c r="BS2" i="3"/>
  <c r="AJ2" i="3"/>
  <c r="CP2" i="3"/>
  <c r="DF2" i="3"/>
  <c r="I27" i="4" s="1"/>
  <c r="BM2" i="3"/>
  <c r="I19" i="4" s="1"/>
  <c r="J19" i="4" s="1"/>
  <c r="N2" i="3"/>
  <c r="CG2" i="3"/>
  <c r="AW2" i="3"/>
  <c r="K2" i="3"/>
  <c r="L2" i="3"/>
  <c r="P2" i="3"/>
  <c r="BZ2" i="3"/>
  <c r="BR2" i="3"/>
  <c r="AK2" i="3"/>
  <c r="BT2" i="3"/>
  <c r="I20" i="4" s="1"/>
  <c r="J20" i="4" s="1"/>
  <c r="BL2" i="3"/>
  <c r="AL2" i="3"/>
  <c r="M2" i="3"/>
  <c r="CM2" i="3"/>
  <c r="AN2" i="3"/>
  <c r="DQ2" i="3"/>
  <c r="O2" i="3"/>
  <c r="CV2" i="3"/>
  <c r="BC2" i="3"/>
  <c r="AF2" i="3"/>
  <c r="CH2" i="3"/>
  <c r="CJ2" i="3"/>
  <c r="CD2" i="3"/>
  <c r="DN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DT2" i="3"/>
  <c r="CS2" i="3"/>
  <c r="CN2" i="3"/>
  <c r="M31" i="4" s="1"/>
  <c r="N31" i="4" s="1"/>
  <c r="DE2" i="3"/>
  <c r="DB2" i="3"/>
  <c r="DM2" i="3"/>
  <c r="BE2" i="3"/>
  <c r="CU2" i="3"/>
  <c r="AB2" i="3"/>
  <c r="AH2" i="3"/>
  <c r="DS2" i="3"/>
  <c r="B2" i="3"/>
  <c r="AS2" i="3"/>
  <c r="AX2" i="3"/>
  <c r="BB2" i="3"/>
  <c r="AT2" i="3"/>
  <c r="CQ2" i="3"/>
  <c r="BF2" i="3"/>
  <c r="AI2" i="3"/>
  <c r="AZ2" i="3"/>
  <c r="CZ2" i="3"/>
  <c r="AM2" i="3"/>
  <c r="V2" i="3"/>
  <c r="CO2" i="3"/>
  <c r="BH2" i="3"/>
  <c r="CC2" i="3"/>
  <c r="DG2" i="3"/>
  <c r="I28" i="4" s="1"/>
  <c r="CR2" i="3"/>
  <c r="M30" i="4" s="1"/>
  <c r="N30" i="4" s="1"/>
  <c r="AP2" i="3"/>
  <c r="CT2" i="3"/>
  <c r="AO2" i="3"/>
  <c r="AR2" i="3"/>
  <c r="AG2" i="3"/>
  <c r="CA2" i="3"/>
  <c r="BY2" i="3"/>
  <c r="W2" i="3"/>
  <c r="DH2" i="3"/>
  <c r="BD2" i="3"/>
  <c r="X2" i="3"/>
  <c r="I6" i="4" s="1"/>
  <c r="DI2" i="3"/>
  <c r="CB2" i="3"/>
  <c r="AY2" i="3"/>
  <c r="BG2" i="3"/>
  <c r="Y2" i="3"/>
  <c r="I7" i="4" s="1"/>
  <c r="DA2" i="3"/>
  <c r="Z2" i="3"/>
  <c r="I8" i="4" s="1"/>
  <c r="F23" i="4"/>
  <c r="F24" i="4"/>
  <c r="F9" i="4"/>
  <c r="I31" i="4" l="1"/>
  <c r="J31" i="4" s="1"/>
  <c r="I29" i="4"/>
  <c r="J29" i="4" s="1"/>
  <c r="I33" i="4"/>
  <c r="J33" i="4" s="1"/>
  <c r="I30" i="4"/>
  <c r="J30" i="4" s="1"/>
  <c r="I32" i="4"/>
  <c r="J32" i="4" s="1"/>
  <c r="J28" i="4"/>
  <c r="J27" i="4"/>
  <c r="M29" i="4"/>
  <c r="N29" i="4" s="1"/>
  <c r="M16" i="4"/>
  <c r="N16" i="4" s="1"/>
  <c r="M14" i="4"/>
  <c r="N14" i="4" s="1"/>
  <c r="M22" i="4"/>
  <c r="N22" i="4" s="1"/>
  <c r="I17" i="4"/>
  <c r="J17" i="4" s="1"/>
  <c r="I16" i="4"/>
  <c r="J16" i="4" s="1"/>
  <c r="M28" i="4"/>
  <c r="N28" i="4" s="1"/>
  <c r="M21" i="4"/>
  <c r="N21" i="4" s="1"/>
  <c r="M18" i="4"/>
  <c r="N18" i="4" s="1"/>
  <c r="M19" i="4"/>
  <c r="N19" i="4" s="1"/>
  <c r="M15" i="4"/>
  <c r="N15" i="4" s="1"/>
  <c r="M6" i="4"/>
  <c r="N6" i="4" s="1"/>
  <c r="M20" i="4"/>
  <c r="N20" i="4" s="1"/>
  <c r="M17" i="4"/>
  <c r="N17" i="4" s="1"/>
  <c r="M7" i="4"/>
  <c r="N7" i="4" s="1"/>
  <c r="M5" i="4"/>
  <c r="N5" i="4" s="1"/>
  <c r="I18" i="4"/>
  <c r="J18" i="4" s="1"/>
  <c r="E21" i="4"/>
  <c r="F21" i="4" s="1"/>
  <c r="E25" i="4"/>
  <c r="F25" i="4" s="1"/>
  <c r="E17" i="4"/>
  <c r="F17" i="4" s="1"/>
  <c r="I11" i="4"/>
  <c r="J11" i="4" s="1"/>
  <c r="E14" i="4"/>
  <c r="F14" i="4" s="1"/>
  <c r="E27" i="4"/>
  <c r="F27" i="4" s="1"/>
  <c r="E15" i="4"/>
  <c r="F15" i="4" s="1"/>
  <c r="I14" i="4"/>
  <c r="J14" i="4" s="1"/>
  <c r="I12" i="4"/>
  <c r="J12" i="4" s="1"/>
  <c r="I13" i="4"/>
  <c r="J13" i="4" s="1"/>
  <c r="E18" i="4"/>
  <c r="F18" i="4" s="1"/>
  <c r="E19" i="4"/>
  <c r="F19" i="4" s="1"/>
  <c r="E16" i="4"/>
  <c r="F16" i="4" s="1"/>
  <c r="E33" i="4"/>
  <c r="F33" i="4" s="1"/>
  <c r="E28" i="4"/>
  <c r="F28" i="4" s="1"/>
  <c r="I5" i="4"/>
  <c r="J5" i="4" s="1"/>
  <c r="E22" i="4"/>
  <c r="F22" i="4" s="1"/>
  <c r="E31" i="4"/>
  <c r="F31" i="4" s="1"/>
  <c r="J6" i="4"/>
  <c r="J8" i="4"/>
  <c r="J7" i="4"/>
  <c r="F8" i="4"/>
</calcChain>
</file>

<file path=xl/sharedStrings.xml><?xml version="1.0" encoding="utf-8"?>
<sst xmlns="http://schemas.openxmlformats.org/spreadsheetml/2006/main" count="528" uniqueCount="212">
  <si>
    <t>Quel´Dorei</t>
  </si>
  <si>
    <t>Man´Ari</t>
  </si>
  <si>
    <t>Huargen</t>
  </si>
  <si>
    <t>Elfo de Vacio</t>
  </si>
  <si>
    <t>Trols de hielo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</si>
  <si>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</si>
  <si>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</si>
  <si>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</si>
  <si>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</si>
  <si>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</si>
  <si>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</si>
  <si>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</si>
  <si>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</si>
  <si>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</si>
  <si>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</si>
  <si>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</si>
  <si>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</si>
  <si>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</si>
  <si>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</si>
  <si>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</si>
  <si>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</si>
  <si>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</si>
  <si>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</si>
  <si>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Trepar/escalar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</si>
  <si>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</si>
  <si>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</si>
  <si>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</si>
  <si>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</si>
  <si>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</si>
  <si>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</si>
  <si>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</si>
  <si>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</si>
  <si>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</si>
  <si>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</si>
  <si>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Bloqueo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</si>
  <si>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</si>
  <si>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</si>
  <si>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</si>
  <si>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</si>
  <si>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</si>
  <si>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</si>
  <si>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</si>
  <si>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</si>
  <si>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</si>
  <si>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</si>
  <si>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</si>
  <si>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</si>
  <si>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</si>
  <si>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</si>
  <si>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</si>
  <si>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</si>
  <si>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</si>
  <si>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</si>
  <si>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</si>
  <si>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</si>
  <si>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</si>
  <si>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</si>
  <si>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</si>
  <si>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</si>
  <si>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</si>
  <si>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</si>
  <si>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</si>
  <si>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</si>
  <si>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</si>
  <si>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</si>
  <si>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</si>
  <si>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</si>
  <si>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</si>
  <si>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</si>
  <si>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</si>
  <si>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</si>
  <si>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</si>
  <si>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</si>
  <si>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</si>
  <si>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</si>
  <si>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</si>
  <si>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</si>
  <si>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</si>
  <si>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</si>
  <si>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</si>
  <si>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</si>
  <si>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</si>
  <si>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</si>
  <si>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</si>
  <si>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</si>
  <si>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</si>
  <si>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</si>
  <si>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</si>
  <si>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</si>
  <si>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</si>
  <si>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</si>
  <si>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</si>
  <si>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</si>
  <si>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</si>
  <si>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</si>
  <si>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</si>
  <si>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</si>
  <si>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</si>
  <si>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</si>
  <si>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</si>
  <si>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</si>
  <si>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</si>
  <si>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</si>
  <si>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</si>
  <si>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</si>
  <si>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</si>
  <si>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</si>
  <si>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</si>
  <si>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</si>
  <si>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</si>
  <si>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</si>
  <si>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</si>
  <si>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</si>
  <si>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</si>
  <si>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</si>
  <si>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</si>
  <si>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</si>
  <si>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</si>
  <si>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</si>
  <si>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</si>
  <si>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</si>
  <si>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</si>
  <si>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</si>
  <si>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</si>
  <si>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Caza</t>
  </si>
  <si>
    <t>Resistencia fisica</t>
  </si>
  <si>
    <t>Resistencia a la magia arcana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</si>
  <si>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</si>
  <si>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</si>
  <si>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</si>
  <si>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</si>
  <si>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</si>
  <si>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</si>
  <si>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</si>
  <si>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</si>
  <si>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</si>
  <si>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</si>
  <si>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</si>
  <si>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</si>
  <si>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</si>
  <si>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</si>
  <si>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</si>
  <si>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</si>
  <si>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</si>
  <si>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</si>
  <si>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</si>
  <si>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</si>
  <si>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</si>
  <si>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</si>
  <si>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</si>
  <si>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</si>
  <si>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</si>
  <si>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</si>
  <si>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</si>
  <si>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</si>
  <si>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</si>
  <si>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</si>
  <si>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</si>
  <si>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</si>
  <si>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</si>
  <si>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</si>
  <si>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</si>
  <si>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</si>
  <si>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</si>
  <si>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</si>
  <si>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</si>
  <si>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</si>
  <si>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</si>
  <si>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</si>
  <si>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</si>
  <si>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Gnomo deMecandria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</si>
  <si>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</si>
  <si>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</si>
  <si>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</si>
  <si>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</si>
  <si>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</si>
  <si>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</si>
  <si>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</si>
  <si>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</si>
  <si>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</si>
  <si>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</si>
  <si>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</si>
  <si>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</si>
  <si>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</si>
  <si>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</si>
  <si>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</si>
  <si>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</si>
  <si>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</si>
  <si>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</si>
  <si>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</si>
  <si>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</si>
  <si>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</si>
  <si>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</si>
  <si>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</si>
  <si>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</si>
  <si>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</si>
  <si>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</si>
  <si>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</si>
  <si>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</si>
  <si>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</si>
  <si>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</si>
  <si>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</si>
  <si>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</si>
  <si>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</si>
  <si>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</si>
  <si>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H16;R9;1,</t>
  </si>
  <si>
    <t>Puntos de trasfondo por nivel</t>
  </si>
  <si>
    <t>Cambio de puntos</t>
  </si>
  <si>
    <t>Precio normal</t>
  </si>
  <si>
    <t>Precio primera vez</t>
  </si>
  <si>
    <t>Puntos de Armas*</t>
  </si>
  <si>
    <t>* Si tu personaje no usa puntos de magia se agregan a armas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</si>
</sst>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57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82604449598681E-2"/>
      </left>
      <right/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/>
      <right/>
      <top style="thin">
        <color theme="2" tint="-9.982604449598681E-2"/>
      </top>
      <bottom/>
      <diagonal/>
    </border>
    <border>
      <left/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/>
      <bottom style="thin">
        <color theme="2" tint="-9.982604449598681E-2"/>
      </bottom>
      <diagonal/>
    </border>
    <border>
      <left/>
      <right/>
      <top/>
      <bottom style="thin">
        <color theme="2" tint="-9.982604449598681E-2"/>
      </bottom>
      <diagonal/>
    </border>
    <border>
      <left/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2" xfId="0" applyBorder="1"/>
    <xf numFmtId="0" fontId="0" fillId="2" borderId="4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4" borderId="4" xfId="0" applyFill="1" applyBorder="1" applyAlignment="1">
      <alignment textRotation="90"/>
    </xf>
    <xf numFmtId="0" fontId="0" fillId="5" borderId="4" xfId="0" applyFill="1" applyBorder="1" applyAlignment="1">
      <alignment textRotation="90"/>
    </xf>
    <xf numFmtId="0" fontId="0" fillId="6" borderId="4" xfId="0" applyFill="1" applyBorder="1" applyAlignment="1">
      <alignment textRotation="90"/>
    </xf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0" borderId="3" xfId="0" applyBorder="1"/>
    <xf numFmtId="0" fontId="0" fillId="6" borderId="7" xfId="0" applyFill="1" applyBorder="1" applyAlignment="1">
      <alignment textRotation="90"/>
    </xf>
    <xf numFmtId="0" fontId="0" fillId="6" borderId="8" xfId="0" applyFill="1" applyBorder="1"/>
    <xf numFmtId="0" fontId="0" fillId="6" borderId="9" xfId="0" applyFill="1" applyBorder="1"/>
    <xf numFmtId="0" fontId="0" fillId="7" borderId="6" xfId="0" applyFill="1" applyBorder="1"/>
    <xf numFmtId="0" fontId="0" fillId="7" borderId="11" xfId="0" applyFill="1" applyBorder="1" applyAlignment="1">
      <alignment textRotation="90"/>
    </xf>
    <xf numFmtId="0" fontId="0" fillId="7" borderId="10" xfId="0" applyFill="1" applyBorder="1"/>
    <xf numFmtId="0" fontId="0" fillId="7" borderId="12" xfId="0" applyFill="1" applyBorder="1" applyAlignment="1">
      <alignment textRotation="90"/>
    </xf>
    <xf numFmtId="0" fontId="0" fillId="7" borderId="13" xfId="0" applyFill="1" applyBorder="1"/>
    <xf numFmtId="0" fontId="0" fillId="7" borderId="14" xfId="0" applyFill="1" applyBorder="1"/>
    <xf numFmtId="0" fontId="0" fillId="8" borderId="15" xfId="0" applyFill="1" applyBorder="1"/>
    <xf numFmtId="0" fontId="0" fillId="8" borderId="17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0" borderId="18" xfId="0" applyFill="1" applyBorder="1"/>
    <xf numFmtId="0" fontId="0" fillId="10" borderId="21" xfId="0" applyFill="1" applyBorder="1"/>
    <xf numFmtId="0" fontId="0" fillId="3" borderId="20" xfId="0" applyFill="1" applyBorder="1"/>
    <xf numFmtId="0" fontId="0" fillId="3" borderId="23" xfId="0" applyFill="1" applyBorder="1"/>
    <xf numFmtId="0" fontId="0" fillId="6" borderId="22" xfId="0" applyFill="1" applyBorder="1"/>
    <xf numFmtId="0" fontId="0" fillId="6" borderId="25" xfId="0" applyFill="1" applyBorder="1"/>
    <xf numFmtId="0" fontId="0" fillId="11" borderId="24" xfId="0" applyFill="1" applyBorder="1"/>
    <xf numFmtId="0" fontId="0" fillId="8" borderId="26" xfId="0" applyFill="1" applyBorder="1" applyAlignment="1">
      <alignment textRotation="90"/>
    </xf>
    <xf numFmtId="0" fontId="0" fillId="8" borderId="27" xfId="0" applyFill="1" applyBorder="1" applyAlignment="1">
      <alignment textRotation="90"/>
    </xf>
    <xf numFmtId="0" fontId="0" fillId="9" borderId="28" xfId="0" applyFill="1" applyBorder="1" applyAlignment="1">
      <alignment textRotation="90"/>
    </xf>
    <xf numFmtId="0" fontId="0" fillId="9" borderId="29" xfId="0" applyFill="1" applyBorder="1" applyAlignment="1">
      <alignment textRotation="90"/>
    </xf>
    <xf numFmtId="0" fontId="0" fillId="10" borderId="30" xfId="0" applyFill="1" applyBorder="1" applyAlignment="1">
      <alignment textRotation="90"/>
    </xf>
    <xf numFmtId="0" fontId="0" fillId="10" borderId="31" xfId="0" applyFill="1" applyBorder="1" applyAlignment="1">
      <alignment textRotation="90"/>
    </xf>
    <xf numFmtId="0" fontId="0" fillId="3" borderId="32" xfId="0" applyFill="1" applyBorder="1" applyAlignment="1">
      <alignment textRotation="90"/>
    </xf>
    <xf numFmtId="0" fontId="0" fillId="3" borderId="33" xfId="0" applyFill="1" applyBorder="1" applyAlignment="1">
      <alignment textRotation="90"/>
    </xf>
    <xf numFmtId="0" fontId="0" fillId="6" borderId="34" xfId="0" applyFill="1" applyBorder="1" applyAlignment="1">
      <alignment textRotation="90"/>
    </xf>
    <xf numFmtId="0" fontId="0" fillId="6" borderId="35" xfId="0" applyFill="1" applyBorder="1" applyAlignment="1">
      <alignment textRotation="90"/>
    </xf>
    <xf numFmtId="0" fontId="0" fillId="11" borderId="36" xfId="0" applyFill="1" applyBorder="1" applyAlignment="1">
      <alignment textRotation="90"/>
    </xf>
    <xf numFmtId="0" fontId="0" fillId="8" borderId="37" xfId="0" applyFill="1" applyBorder="1"/>
    <xf numFmtId="0" fontId="0" fillId="8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10" borderId="41" xfId="0" applyFill="1" applyBorder="1"/>
    <xf numFmtId="0" fontId="0" fillId="10" borderId="42" xfId="0" applyFill="1" applyBorder="1"/>
    <xf numFmtId="0" fontId="0" fillId="3" borderId="43" xfId="0" applyFill="1" applyBorder="1"/>
    <xf numFmtId="0" fontId="0" fillId="3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11" borderId="47" xfId="0" applyFill="1" applyBorder="1"/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7" borderId="11" xfId="0" applyFill="1" applyBorder="1"/>
    <xf numFmtId="0" fontId="0" fillId="8" borderId="26" xfId="0" applyFill="1" applyBorder="1"/>
    <xf numFmtId="0" fontId="0" fillId="9" borderId="28" xfId="0" applyFill="1" applyBorder="1"/>
    <xf numFmtId="0" fontId="0" fillId="10" borderId="30" xfId="0" applyFill="1" applyBorder="1"/>
    <xf numFmtId="0" fontId="0" fillId="3" borderId="32" xfId="0" applyFill="1" applyBorder="1"/>
    <xf numFmtId="0" fontId="0" fillId="6" borderId="34" xfId="0" applyFill="1" applyBorder="1"/>
    <xf numFmtId="0" fontId="0" fillId="11" borderId="36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9" fillId="0" borderId="2" xfId="0" applyFont="1" applyBorder="1"/>
    <xf numFmtId="0" fontId="16" fillId="0" borderId="0" xfId="0" applyFont="1"/>
    <xf numFmtId="0" fontId="0" fillId="8" borderId="48" xfId="0" applyFill="1" applyBorder="1"/>
    <xf numFmtId="0" fontId="0" fillId="8" borderId="49" xfId="0" applyFill="1" applyBorder="1"/>
    <xf numFmtId="0" fontId="2" fillId="2" borderId="1" xfId="0" applyFont="1" applyFill="1" applyBorder="1"/>
    <xf numFmtId="0" fontId="2" fillId="3" borderId="4" xfId="0" applyFont="1" applyFill="1" applyBorder="1"/>
    <xf numFmtId="0" fontId="2" fillId="11" borderId="36" xfId="0" applyFont="1" applyFill="1" applyBorder="1"/>
    <xf numFmtId="0" fontId="2" fillId="6" borderId="1" xfId="0" applyFont="1" applyFill="1" applyBorder="1"/>
    <xf numFmtId="0" fontId="2" fillId="7" borderId="11" xfId="0" applyFont="1" applyFill="1" applyBorder="1"/>
    <xf numFmtId="0" fontId="2" fillId="9" borderId="28" xfId="0" applyFont="1" applyFill="1" applyBorder="1"/>
    <xf numFmtId="0" fontId="2" fillId="6" borderId="34" xfId="0" applyFont="1" applyFill="1" applyBorder="1"/>
    <xf numFmtId="0" fontId="2" fillId="10" borderId="30" xfId="0" applyFont="1" applyFill="1" applyBorder="1"/>
    <xf numFmtId="0" fontId="2" fillId="8" borderId="49" xfId="0" applyFont="1" applyFill="1" applyBorder="1"/>
    <xf numFmtId="0" fontId="2" fillId="3" borderId="32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11" borderId="36" xfId="0" applyFont="1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" fillId="9" borderId="28" xfId="0" applyFont="1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2" fillId="6" borderId="34" xfId="0" applyFont="1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2" fillId="10" borderId="30" xfId="0" applyFont="1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2" fillId="10" borderId="50" xfId="0" applyFont="1" applyFill="1" applyBorder="1"/>
    <xf numFmtId="0" fontId="2" fillId="10" borderId="50" xfId="0" applyFont="1" applyFill="1" applyBorder="1" applyAlignment="1">
      <alignment horizontal="center"/>
    </xf>
    <xf numFmtId="1" fontId="0" fillId="7" borderId="10" xfId="0" applyNumberFormat="1" applyFill="1" applyBorder="1"/>
    <xf numFmtId="0" fontId="2" fillId="10" borderId="20" xfId="0" applyFont="1" applyFill="1" applyBorder="1"/>
    <xf numFmtId="0" fontId="0" fillId="0" borderId="56" xfId="0" applyBorder="1"/>
    <xf numFmtId="0" fontId="0" fillId="0" borderId="56" xfId="0" applyBorder="1" applyAlignment="1">
      <alignment horizontal="center"/>
    </xf>
    <xf numFmtId="0" fontId="2" fillId="10" borderId="20" xfId="0" applyFont="1" applyFill="1" applyBorder="1" applyAlignment="1">
      <alignment horizontal="center"/>
    </xf>
    <xf numFmtId="0" fontId="2" fillId="10" borderId="23" xfId="0" applyFon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51" xfId="0" applyFill="1" applyBorder="1" applyAlignment="1">
      <alignment horizontal="center"/>
    </xf>
    <xf numFmtId="0" fontId="0" fillId="10" borderId="52" xfId="0" applyFill="1" applyBorder="1" applyAlignment="1">
      <alignment horizontal="center"/>
    </xf>
    <xf numFmtId="0" fontId="0" fillId="10" borderId="53" xfId="0" applyFill="1" applyBorder="1" applyAlignment="1">
      <alignment horizontal="center"/>
    </xf>
    <xf numFmtId="0" fontId="0" fillId="10" borderId="54" xfId="0" applyFill="1" applyBorder="1" applyAlignment="1">
      <alignment horizontal="center"/>
    </xf>
    <xf numFmtId="0" fontId="0" fillId="10" borderId="5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9525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13</xdr:row>
          <xdr:rowOff>9525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22</xdr:row>
          <xdr:rowOff>9525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26</xdr:row>
          <xdr:rowOff>9525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9525</xdr:rowOff>
        </xdr:from>
        <xdr:to>
          <xdr:col>7</xdr:col>
          <xdr:colOff>180975</xdr:colOff>
          <xdr:row>8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7</xdr:col>
          <xdr:colOff>180975</xdr:colOff>
          <xdr:row>14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180975</xdr:colOff>
          <xdr:row>23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3"/>
  <sheetViews>
    <sheetView tabSelected="1" workbookViewId="0">
      <selection activeCell="V16" sqref="V16"/>
    </sheetView>
  </sheetViews>
  <sheetFormatPr baseColWidth="10" defaultRowHeight="15" x14ac:dyDescent="0.25"/>
  <cols>
    <col min="1" max="1" width="18.140625" bestFit="1" customWidth="1"/>
    <col min="3" max="3" width="23.5703125" customWidth="1"/>
    <col min="4" max="4" width="9.140625" customWidth="1"/>
    <col min="5" max="5" width="5.5703125" bestFit="1" customWidth="1"/>
    <col min="6" max="6" width="5.42578125" bestFit="1" customWidth="1"/>
    <col min="7" max="7" width="24.28515625" bestFit="1" customWidth="1"/>
    <col min="8" max="8" width="8.7109375" style="110" customWidth="1"/>
    <col min="9" max="9" width="5.5703125" bestFit="1" customWidth="1"/>
    <col min="10" max="10" width="5.42578125" bestFit="1" customWidth="1"/>
    <col min="11" max="11" width="21.42578125" customWidth="1"/>
    <col min="12" max="12" width="11.42578125" style="110"/>
    <col min="13" max="13" width="5.5703125" bestFit="1" customWidth="1"/>
    <col min="14" max="14" width="5.42578125" bestFit="1" customWidth="1"/>
    <col min="16" max="16" width="6.42578125" bestFit="1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8" t="s">
        <v>203</v>
      </c>
      <c r="D1" s="131"/>
      <c r="E1" s="131"/>
      <c r="F1" s="132"/>
      <c r="G1" s="133"/>
      <c r="H1" s="134"/>
      <c r="I1" s="134"/>
      <c r="J1" s="134"/>
      <c r="K1" s="134"/>
      <c r="L1" s="134"/>
      <c r="M1" s="134"/>
      <c r="N1" s="135"/>
      <c r="U1" t="s">
        <v>198</v>
      </c>
    </row>
    <row r="2" spans="3:25" x14ac:dyDescent="0.25">
      <c r="C2" s="128" t="s">
        <v>204</v>
      </c>
      <c r="D2" s="131"/>
      <c r="E2" s="131"/>
      <c r="F2" s="132"/>
      <c r="G2" s="136"/>
      <c r="H2" s="137"/>
      <c r="I2" s="137"/>
      <c r="J2" s="137"/>
      <c r="K2" s="137"/>
      <c r="L2" s="137"/>
      <c r="M2" s="137"/>
      <c r="N2" s="138"/>
    </row>
    <row r="3" spans="3:25" x14ac:dyDescent="0.25">
      <c r="C3" s="125" t="s">
        <v>201</v>
      </c>
      <c r="D3" s="126">
        <v>1</v>
      </c>
      <c r="E3" s="125"/>
      <c r="F3" s="125"/>
      <c r="G3" s="125" t="s">
        <v>202</v>
      </c>
      <c r="H3" s="125">
        <f>R4</f>
        <v>20</v>
      </c>
      <c r="I3" s="125"/>
      <c r="J3" s="125"/>
      <c r="K3" s="125"/>
      <c r="L3" s="125"/>
      <c r="M3" s="125"/>
      <c r="N3" s="125"/>
      <c r="S3" t="s">
        <v>195</v>
      </c>
    </row>
    <row r="4" spans="3:25" x14ac:dyDescent="0.25">
      <c r="C4" s="92" t="s">
        <v>150</v>
      </c>
      <c r="D4" s="102">
        <f>R5</f>
        <v>5</v>
      </c>
      <c r="E4" s="92" t="s">
        <v>158</v>
      </c>
      <c r="F4" s="92" t="s">
        <v>132</v>
      </c>
      <c r="G4" s="95" t="s">
        <v>185</v>
      </c>
      <c r="H4" s="111">
        <f>R7</f>
        <v>3</v>
      </c>
      <c r="I4" s="95" t="s">
        <v>158</v>
      </c>
      <c r="J4" s="95" t="s">
        <v>132</v>
      </c>
      <c r="K4" s="99" t="s">
        <v>154</v>
      </c>
      <c r="L4" s="119">
        <f>R9</f>
        <v>1</v>
      </c>
      <c r="M4" s="99" t="s">
        <v>158</v>
      </c>
      <c r="N4" s="99" t="s">
        <v>132</v>
      </c>
      <c r="Q4" t="s">
        <v>186</v>
      </c>
      <c r="R4">
        <v>20</v>
      </c>
      <c r="S4" t="s">
        <v>196</v>
      </c>
      <c r="T4">
        <v>7</v>
      </c>
      <c r="V4" s="129" t="s">
        <v>206</v>
      </c>
      <c r="W4" s="129">
        <v>7</v>
      </c>
      <c r="X4" s="130" t="s">
        <v>207</v>
      </c>
      <c r="Y4" s="130"/>
    </row>
    <row r="5" spans="3:25" x14ac:dyDescent="0.25">
      <c r="C5" s="3" t="s">
        <v>12</v>
      </c>
      <c r="D5" s="103">
        <v>0</v>
      </c>
      <c r="E5" s="3" t="str">
        <f>IF(OR(ISBLANK($D$1),  ISBLANK($D$2)),"", HLOOKUP(C5,'Ficha inicial'!$C$1:$J$5, 2, FALSE))</f>
        <v/>
      </c>
      <c r="F5" s="3">
        <f t="shared" ref="F5:F12" si="0">SUM(D5,E5)</f>
        <v>0</v>
      </c>
      <c r="G5" s="7" t="s">
        <v>32</v>
      </c>
      <c r="H5" s="112">
        <v>0</v>
      </c>
      <c r="I5" s="7" t="str">
        <f>IF(OR(ISBLANK($D$1),  ISBLANK($D$2)),"", HLOOKUP(G5,'Ficha inicial'!$K$1:$Z$5, 2, FALSE))</f>
        <v/>
      </c>
      <c r="J5" s="7">
        <f>SUM(H5,I5)</f>
        <v>0</v>
      </c>
      <c r="K5" s="70"/>
      <c r="L5" s="120">
        <v>0</v>
      </c>
      <c r="M5" s="70" t="str">
        <f>IF(ISBLANK(K5), "", HLOOKUP(K5,'Ficha inicial'!$BU$1:$CL$5, 2, FALSE))</f>
        <v/>
      </c>
      <c r="N5" s="70" t="str">
        <f t="shared" ref="N5:N12" si="1">IF(ISBLANK(K5),"",SUM(L5:M5))</f>
        <v/>
      </c>
      <c r="Q5" t="s">
        <v>187</v>
      </c>
      <c r="R5">
        <v>5</v>
      </c>
      <c r="T5">
        <v>4</v>
      </c>
      <c r="V5" s="129" t="s">
        <v>186</v>
      </c>
      <c r="W5" s="129">
        <v>20</v>
      </c>
      <c r="X5" s="129" t="s">
        <v>208</v>
      </c>
      <c r="Y5" s="129" t="s">
        <v>209</v>
      </c>
    </row>
    <row r="6" spans="3:25" x14ac:dyDescent="0.25">
      <c r="C6" s="3" t="s">
        <v>13</v>
      </c>
      <c r="D6" s="103">
        <v>0</v>
      </c>
      <c r="E6" s="3" t="str">
        <f>IF(OR(ISBLANK($D$1),  ISBLANK($D$2)),"", HLOOKUP(C6,'Ficha inicial'!$C$1:$J$5, 2, FALSE))</f>
        <v/>
      </c>
      <c r="F6" s="3">
        <f t="shared" si="0"/>
        <v>0</v>
      </c>
      <c r="G6" s="7" t="s">
        <v>33</v>
      </c>
      <c r="H6" s="112">
        <v>0</v>
      </c>
      <c r="I6" s="7" t="str">
        <f>IF(OR(ISBLANK($D$1),  ISBLANK($D$2)),"", HLOOKUP(G6,'Ficha inicial'!$K$1:$Z$5, 2, FALSE))</f>
        <v/>
      </c>
      <c r="J6" s="7">
        <f>SUM(H6,I6)</f>
        <v>0</v>
      </c>
      <c r="K6" s="70"/>
      <c r="L6" s="120">
        <v>0</v>
      </c>
      <c r="M6" s="70" t="str">
        <f>IF(ISBLANK(K6), "", HLOOKUP(K6,'Ficha inicial'!$BU$1:$CL$5, 2, FALSE))</f>
        <v/>
      </c>
      <c r="N6" s="70" t="str">
        <f t="shared" si="1"/>
        <v/>
      </c>
      <c r="Q6" t="s">
        <v>192</v>
      </c>
      <c r="R6">
        <v>10</v>
      </c>
      <c r="S6">
        <v>3</v>
      </c>
      <c r="T6">
        <v>2</v>
      </c>
      <c r="V6" s="129" t="s">
        <v>187</v>
      </c>
      <c r="W6" s="129">
        <v>5</v>
      </c>
      <c r="X6" s="129">
        <v>4</v>
      </c>
      <c r="Y6" s="129">
        <v>0</v>
      </c>
    </row>
    <row r="7" spans="3:25" x14ac:dyDescent="0.25">
      <c r="C7" s="3" t="s">
        <v>14</v>
      </c>
      <c r="D7" s="103">
        <v>0</v>
      </c>
      <c r="E7" s="3" t="str">
        <f>IF(OR(ISBLANK($D$1),  ISBLANK($D$2)),"", HLOOKUP(C7,'Ficha inicial'!$C$1:$J$5, 2, FALSE))</f>
        <v/>
      </c>
      <c r="F7" s="3">
        <f t="shared" si="0"/>
        <v>0</v>
      </c>
      <c r="G7" s="7" t="s">
        <v>34</v>
      </c>
      <c r="H7" s="112">
        <v>0</v>
      </c>
      <c r="I7" s="7" t="str">
        <f>IF(OR(ISBLANK($D$1),  ISBLANK($D$2)),"", HLOOKUP(G7,'Ficha inicial'!$K$1:$Z$5, 2, FALSE))</f>
        <v/>
      </c>
      <c r="J7" s="7">
        <f>SUM(H7,I7)</f>
        <v>0</v>
      </c>
      <c r="K7" s="70"/>
      <c r="L7" s="120">
        <v>0</v>
      </c>
      <c r="M7" s="70" t="str">
        <f>IF(ISBLANK(K7), "", HLOOKUP(K7,'Ficha inicial'!$BU$1:$CL$5, 2, FALSE))</f>
        <v/>
      </c>
      <c r="N7" s="70" t="str">
        <f t="shared" si="1"/>
        <v/>
      </c>
      <c r="Q7" t="s">
        <v>191</v>
      </c>
      <c r="R7">
        <v>3</v>
      </c>
      <c r="S7">
        <v>4</v>
      </c>
      <c r="T7">
        <v>3</v>
      </c>
      <c r="V7" s="129" t="s">
        <v>192</v>
      </c>
      <c r="W7" s="129">
        <v>10</v>
      </c>
      <c r="X7" s="129">
        <v>2</v>
      </c>
      <c r="Y7" s="129">
        <v>3</v>
      </c>
    </row>
    <row r="8" spans="3:25" x14ac:dyDescent="0.25">
      <c r="C8" s="3" t="s">
        <v>15</v>
      </c>
      <c r="D8" s="103">
        <v>0</v>
      </c>
      <c r="E8" s="3" t="str">
        <f>IF(OR(ISBLANK($D$1),  ISBLANK($D$2)),"", HLOOKUP(C8,'Ficha inicial'!$C$1:$J$5, 2, FALSE))</f>
        <v/>
      </c>
      <c r="F8" s="3">
        <f t="shared" si="0"/>
        <v>0</v>
      </c>
      <c r="G8" s="7" t="s">
        <v>35</v>
      </c>
      <c r="H8" s="112">
        <v>0</v>
      </c>
      <c r="I8" s="7" t="str">
        <f>IF(OR(ISBLANK($D$1),  ISBLANK($D$2)),"", HLOOKUP(G8,'Ficha inicial'!$K$1:$Z$5, 2, FALSE))</f>
        <v/>
      </c>
      <c r="J8" s="7">
        <f>SUM(H8,I8)</f>
        <v>0</v>
      </c>
      <c r="K8" s="70"/>
      <c r="L8" s="120">
        <v>0</v>
      </c>
      <c r="M8" s="70" t="str">
        <f>IF(ISBLANK(K8), "", HLOOKUP(K8,'Ficha inicial'!$BU$1:$CL$5, 2, FALSE))</f>
        <v/>
      </c>
      <c r="N8" s="70" t="str">
        <f t="shared" si="1"/>
        <v/>
      </c>
      <c r="Q8" t="s">
        <v>190</v>
      </c>
      <c r="R8">
        <v>1</v>
      </c>
      <c r="S8">
        <v>4</v>
      </c>
      <c r="T8">
        <v>3</v>
      </c>
      <c r="V8" s="129" t="s">
        <v>191</v>
      </c>
      <c r="W8" s="129">
        <v>3</v>
      </c>
      <c r="X8" s="129">
        <v>3</v>
      </c>
      <c r="Y8" s="129">
        <v>4</v>
      </c>
    </row>
    <row r="9" spans="3:25" x14ac:dyDescent="0.25">
      <c r="C9" s="3" t="s">
        <v>16</v>
      </c>
      <c r="D9" s="103">
        <v>0</v>
      </c>
      <c r="E9" s="3" t="str">
        <f>IF(OR(ISBLANK($D$1),  ISBLANK($D$2)),"", HLOOKUP(C9,'Ficha inicial'!$C$1:$J$5, 2, FALSE))</f>
        <v/>
      </c>
      <c r="F9" s="3">
        <f t="shared" si="0"/>
        <v>0</v>
      </c>
      <c r="G9" s="96" t="s">
        <v>152</v>
      </c>
      <c r="H9" s="113">
        <f>R8</f>
        <v>1</v>
      </c>
      <c r="I9" s="96" t="s">
        <v>158</v>
      </c>
      <c r="J9" s="96" t="s">
        <v>132</v>
      </c>
      <c r="K9" s="70"/>
      <c r="L9" s="120">
        <v>0</v>
      </c>
      <c r="M9" s="70" t="str">
        <f>IF(ISBLANK(K9), "", HLOOKUP(K9,'Ficha inicial'!$BU$1:$CL$5, 2, FALSE))</f>
        <v/>
      </c>
      <c r="N9" s="70" t="str">
        <f t="shared" si="1"/>
        <v/>
      </c>
      <c r="Q9" t="s">
        <v>188</v>
      </c>
      <c r="R9">
        <v>1</v>
      </c>
      <c r="S9">
        <v>4</v>
      </c>
      <c r="T9">
        <v>3</v>
      </c>
      <c r="U9" t="s">
        <v>205</v>
      </c>
      <c r="V9" s="129" t="s">
        <v>190</v>
      </c>
      <c r="W9" s="129">
        <v>1</v>
      </c>
      <c r="X9" s="129">
        <v>3</v>
      </c>
      <c r="Y9" s="129">
        <v>4</v>
      </c>
    </row>
    <row r="10" spans="3:25" x14ac:dyDescent="0.25">
      <c r="C10" s="3" t="s">
        <v>31</v>
      </c>
      <c r="D10" s="103">
        <v>0</v>
      </c>
      <c r="E10" s="3" t="str">
        <f>IF(OR(ISBLANK($D$1),  ISBLANK($D$2)),"", HLOOKUP(C10,'Ficha inicial'!$C$1:$J$5, 2, FALSE))</f>
        <v/>
      </c>
      <c r="F10" s="3">
        <f t="shared" si="0"/>
        <v>0</v>
      </c>
      <c r="G10" s="67" t="s">
        <v>36</v>
      </c>
      <c r="H10" s="114">
        <v>0</v>
      </c>
      <c r="I10" s="67" t="str">
        <f>IF(OR(ISBLANK($D$1),  ISBLANK($D$2)),"", HLOOKUP(G10,'Ficha inicial'!$AA$1:$AE$5, 2, FALSE))</f>
        <v/>
      </c>
      <c r="J10" s="67">
        <f>SUM(H10:I10)</f>
        <v>0</v>
      </c>
      <c r="K10" s="70"/>
      <c r="L10" s="120">
        <v>0</v>
      </c>
      <c r="M10" s="70" t="str">
        <f>IF(ISBLANK(K10), "", HLOOKUP(K10,'Ficha inicial'!$BU$1:$CL$5, 2, FALSE))</f>
        <v/>
      </c>
      <c r="N10" s="70" t="str">
        <f t="shared" si="1"/>
        <v/>
      </c>
      <c r="Q10" t="s">
        <v>194</v>
      </c>
      <c r="R10">
        <v>5</v>
      </c>
      <c r="S10">
        <v>3</v>
      </c>
      <c r="T10">
        <v>2</v>
      </c>
      <c r="V10" s="129" t="s">
        <v>188</v>
      </c>
      <c r="W10" s="129">
        <v>1</v>
      </c>
      <c r="X10" s="129">
        <v>3</v>
      </c>
      <c r="Y10" s="129">
        <v>4</v>
      </c>
    </row>
    <row r="11" spans="3:25" x14ac:dyDescent="0.25">
      <c r="C11" s="3" t="s">
        <v>17</v>
      </c>
      <c r="D11" s="103">
        <v>0</v>
      </c>
      <c r="E11" s="3" t="str">
        <f>IF(OR(ISBLANK($D$1),  ISBLANK($D$2)),"", HLOOKUP(C11,'Ficha inicial'!$C$1:$J$5, 2, FALSE))</f>
        <v/>
      </c>
      <c r="F11" s="3">
        <f t="shared" si="0"/>
        <v>0</v>
      </c>
      <c r="G11" s="67" t="s">
        <v>37</v>
      </c>
      <c r="H11" s="114">
        <v>0</v>
      </c>
      <c r="I11" s="67" t="str">
        <f>IF(OR(ISBLANK($D$1),  ISBLANK($D$2)),"", HLOOKUP(G11,'Ficha inicial'!$AA$1:$AE$5, 2, FALSE))</f>
        <v/>
      </c>
      <c r="J11" s="67">
        <f>SUM(H11:I11)</f>
        <v>0</v>
      </c>
      <c r="K11" s="70"/>
      <c r="L11" s="120">
        <v>0</v>
      </c>
      <c r="M11" s="70" t="str">
        <f>IF(ISBLANK(K11), "", HLOOKUP(K11,'Ficha inicial'!$BU$1:$CL$5, 2, FALSE))</f>
        <v/>
      </c>
      <c r="N11" s="70" t="str">
        <f t="shared" si="1"/>
        <v/>
      </c>
      <c r="Q11" t="s">
        <v>189</v>
      </c>
      <c r="R11">
        <f>IF(R8=0,5,6)</f>
        <v>6</v>
      </c>
      <c r="S11">
        <v>4</v>
      </c>
      <c r="T11">
        <v>3</v>
      </c>
      <c r="V11" s="129" t="s">
        <v>194</v>
      </c>
      <c r="W11" s="129">
        <v>5</v>
      </c>
      <c r="X11" s="129">
        <v>2</v>
      </c>
      <c r="Y11" s="129">
        <v>3</v>
      </c>
    </row>
    <row r="12" spans="3:25" x14ac:dyDescent="0.25">
      <c r="C12" s="3" t="s">
        <v>18</v>
      </c>
      <c r="D12" s="103">
        <v>0</v>
      </c>
      <c r="E12" s="3" t="str">
        <f>IF(OR(ISBLANK($D$1),  ISBLANK($D$2)),"", HLOOKUP(C12,'Ficha inicial'!$C$1:$J$5, 2, FALSE))</f>
        <v/>
      </c>
      <c r="F12" s="3">
        <f t="shared" si="0"/>
        <v>0</v>
      </c>
      <c r="G12" s="67" t="s">
        <v>38</v>
      </c>
      <c r="H12" s="114">
        <v>0</v>
      </c>
      <c r="I12" s="67" t="str">
        <f>IF(OR(ISBLANK($D$1),  ISBLANK($D$2)),"", HLOOKUP(G12,'Ficha inicial'!$AA$1:$AE$5, 2, FALSE))</f>
        <v/>
      </c>
      <c r="J12" s="67">
        <f>SUM(H12:I12)</f>
        <v>0</v>
      </c>
      <c r="K12" s="70"/>
      <c r="L12" s="120">
        <v>0</v>
      </c>
      <c r="M12" s="70" t="str">
        <f>IF(ISBLANK(K12), "", HLOOKUP(K12,'Ficha inicial'!$BU$1:$CL$5, 2, FALSE))</f>
        <v/>
      </c>
      <c r="N12" s="70" t="str">
        <f t="shared" si="1"/>
        <v/>
      </c>
      <c r="Q12" t="s">
        <v>193</v>
      </c>
      <c r="R12">
        <v>2</v>
      </c>
      <c r="S12">
        <v>3</v>
      </c>
      <c r="T12">
        <v>2</v>
      </c>
      <c r="V12" s="129" t="s">
        <v>210</v>
      </c>
      <c r="W12" s="129">
        <v>5</v>
      </c>
      <c r="X12" s="129">
        <v>3</v>
      </c>
      <c r="Y12" s="129">
        <v>4</v>
      </c>
    </row>
    <row r="13" spans="3:25" x14ac:dyDescent="0.25">
      <c r="C13" s="93" t="s">
        <v>151</v>
      </c>
      <c r="D13" s="104">
        <f>R6</f>
        <v>10</v>
      </c>
      <c r="E13" s="93" t="s">
        <v>158</v>
      </c>
      <c r="F13" s="93" t="s">
        <v>132</v>
      </c>
      <c r="G13" s="67" t="s">
        <v>39</v>
      </c>
      <c r="H13" s="114">
        <v>0</v>
      </c>
      <c r="I13" s="67" t="str">
        <f>IF(OR(ISBLANK($D$1),  ISBLANK($D$2)),"", HLOOKUP(G13,'Ficha inicial'!$AA$1:$AE$5, 2, FALSE))</f>
        <v/>
      </c>
      <c r="J13" s="67">
        <f>SUM(H13:I13)</f>
        <v>0</v>
      </c>
      <c r="K13" s="100" t="s">
        <v>153</v>
      </c>
      <c r="L13" s="121">
        <f>R11</f>
        <v>6</v>
      </c>
      <c r="M13" s="100" t="s">
        <v>158</v>
      </c>
      <c r="N13" s="100" t="s">
        <v>132</v>
      </c>
      <c r="V13" s="129" t="s">
        <v>193</v>
      </c>
      <c r="W13" s="129">
        <v>2</v>
      </c>
      <c r="X13" s="129">
        <v>2</v>
      </c>
      <c r="Y13" s="129">
        <v>3</v>
      </c>
    </row>
    <row r="14" spans="3:25" x14ac:dyDescent="0.25">
      <c r="C14" s="63" t="s">
        <v>19</v>
      </c>
      <c r="D14" s="105">
        <v>0</v>
      </c>
      <c r="E14" s="63" t="str">
        <f>IF(OR(ISBLANK($D$1),  ISBLANK($D$2)),"", HLOOKUP(C14,'Ficha inicial'!$K$1:$Z$5, 2, FALSE))</f>
        <v/>
      </c>
      <c r="F14" s="63">
        <f t="shared" ref="F14:F25" si="2">SUM(D14,E14)</f>
        <v>0</v>
      </c>
      <c r="G14" s="67" t="s">
        <v>200</v>
      </c>
      <c r="H14" s="114">
        <v>0</v>
      </c>
      <c r="I14" s="67" t="str">
        <f>IF(OR(ISBLANK($D$1),  ISBLANK($D$2)),"", HLOOKUP(G14,'Ficha inicial'!$AA$1:$AE$5, 2, FALSE))</f>
        <v/>
      </c>
      <c r="J14" s="67">
        <f>SUM(H14:I14)</f>
        <v>0</v>
      </c>
      <c r="K14" s="91"/>
      <c r="L14" s="122">
        <v>0</v>
      </c>
      <c r="M14" s="91" t="str">
        <f>IF(ISBLANK(K14), "", HLOOKUP(K14,'Ficha inicial'!$AF$1:$AW$2, 2, FALSE))</f>
        <v/>
      </c>
      <c r="N14" s="91" t="str">
        <f t="shared" ref="N14:N26" si="3">IF(ISBLANK(K14),"",SUM(L14:M14))</f>
        <v/>
      </c>
    </row>
    <row r="15" spans="3:25" x14ac:dyDescent="0.25">
      <c r="C15" s="63" t="s">
        <v>20</v>
      </c>
      <c r="D15" s="105">
        <v>0</v>
      </c>
      <c r="E15" s="63" t="str">
        <f>IF(OR(ISBLANK($D$1),  ISBLANK($D$2)),"", HLOOKUP(C15,'Ficha inicial'!$K$1:$Z$5, 2, FALSE))</f>
        <v/>
      </c>
      <c r="F15" s="63">
        <f t="shared" si="2"/>
        <v>0</v>
      </c>
      <c r="G15" s="97" t="s">
        <v>199</v>
      </c>
      <c r="H15" s="115">
        <f>R9</f>
        <v>1</v>
      </c>
      <c r="I15" s="97" t="s">
        <v>158</v>
      </c>
      <c r="J15" s="97" t="s">
        <v>132</v>
      </c>
      <c r="K15" s="91"/>
      <c r="L15" s="122">
        <v>0</v>
      </c>
      <c r="M15" s="91" t="str">
        <f>IF(ISBLANK(K15), "", HLOOKUP(K15,'Ficha inicial'!$AF$1:$AW$2, 2, FALSE))</f>
        <v/>
      </c>
      <c r="N15" s="91" t="str">
        <f t="shared" si="3"/>
        <v/>
      </c>
      <c r="V15" t="s">
        <v>211</v>
      </c>
    </row>
    <row r="16" spans="3:25" x14ac:dyDescent="0.25">
      <c r="C16" s="63" t="s">
        <v>21</v>
      </c>
      <c r="D16" s="105">
        <v>0</v>
      </c>
      <c r="E16" s="63" t="str">
        <f>IF(OR(ISBLANK($D$1),  ISBLANK($D$2)),"", HLOOKUP(C16,'Ficha inicial'!$K$1:$Z$5, 2, FALSE))</f>
        <v/>
      </c>
      <c r="F16" s="63">
        <f t="shared" si="2"/>
        <v>0</v>
      </c>
      <c r="G16" s="69"/>
      <c r="H16" s="116">
        <v>0</v>
      </c>
      <c r="I16" s="69" t="str">
        <f>IF(ISBLANK(G16), "", HLOOKUP(G16, 'Ficha inicial'!$AX$1:$BT$5, 2, FALSE))</f>
        <v/>
      </c>
      <c r="J16" s="69" t="str">
        <f t="shared" ref="J16:J23" si="4">IF(ISBLANK(G16),"",SUM(H16:I16))</f>
        <v/>
      </c>
      <c r="K16" s="91"/>
      <c r="L16" s="122">
        <v>0</v>
      </c>
      <c r="M16" s="91" t="str">
        <f>IF(ISBLANK(K16), "", HLOOKUP(K16,'Ficha inicial'!$AF$1:$AW$2, 2, FALSE))</f>
        <v/>
      </c>
      <c r="N16" s="91" t="str">
        <f t="shared" si="3"/>
        <v/>
      </c>
    </row>
    <row r="17" spans="3:14" x14ac:dyDescent="0.25">
      <c r="C17" s="63" t="s">
        <v>22</v>
      </c>
      <c r="D17" s="105">
        <v>0</v>
      </c>
      <c r="E17" s="63" t="str">
        <f>IF(OR(ISBLANK($D$1),  ISBLANK($D$2)),"", HLOOKUP(C17,'Ficha inicial'!$K$1:$Z$5, 2, FALSE))</f>
        <v/>
      </c>
      <c r="F17" s="63">
        <f t="shared" si="2"/>
        <v>0</v>
      </c>
      <c r="G17" s="69"/>
      <c r="H17" s="116">
        <v>0</v>
      </c>
      <c r="I17" s="69" t="str">
        <f>IF(ISBLANK(G17), "", HLOOKUP(G17, 'Ficha inicial'!$AX$1:$BT$5, 2, FALSE))</f>
        <v/>
      </c>
      <c r="J17" s="69" t="str">
        <f t="shared" si="4"/>
        <v/>
      </c>
      <c r="K17" s="91"/>
      <c r="L17" s="122">
        <v>0</v>
      </c>
      <c r="M17" s="91" t="str">
        <f>IF(ISBLANK(K17), "", HLOOKUP(K17,'Ficha inicial'!$AF$1:$AW$2, 2, FALSE))</f>
        <v/>
      </c>
      <c r="N17" s="91" t="str">
        <f t="shared" si="3"/>
        <v/>
      </c>
    </row>
    <row r="18" spans="3:14" x14ac:dyDescent="0.25">
      <c r="C18" s="4" t="s">
        <v>23</v>
      </c>
      <c r="D18" s="105">
        <v>0</v>
      </c>
      <c r="E18" s="63" t="str">
        <f>IF(OR(ISBLANK($D$1),  ISBLANK($D$2)),"", HLOOKUP(C18,'Ficha inicial'!$K$1:$Z$5, 2, FALSE))</f>
        <v/>
      </c>
      <c r="F18" s="4">
        <f t="shared" si="2"/>
        <v>0</v>
      </c>
      <c r="G18" s="69"/>
      <c r="H18" s="116">
        <v>0</v>
      </c>
      <c r="I18" s="69" t="str">
        <f>IF(ISBLANK(G18), "", HLOOKUP(G18, 'Ficha inicial'!$AX$1:$BT$5, 2, FALSE))</f>
        <v/>
      </c>
      <c r="J18" s="69" t="str">
        <f t="shared" si="4"/>
        <v/>
      </c>
      <c r="K18" s="91"/>
      <c r="L18" s="122">
        <v>0</v>
      </c>
      <c r="M18" s="91" t="str">
        <f>IF(ISBLANK(K18), "", HLOOKUP(K18,'Ficha inicial'!$AF$1:$AW$2, 2, FALSE))</f>
        <v/>
      </c>
      <c r="N18" s="91" t="str">
        <f t="shared" si="3"/>
        <v/>
      </c>
    </row>
    <row r="19" spans="3:14" x14ac:dyDescent="0.25">
      <c r="C19" s="4" t="s">
        <v>24</v>
      </c>
      <c r="D19" s="105">
        <v>0</v>
      </c>
      <c r="E19" s="63" t="str">
        <f>IF(OR(ISBLANK($D$1),  ISBLANK($D$2)),"", HLOOKUP(C19,'Ficha inicial'!$K$1:$Z$5, 2, FALSE))</f>
        <v/>
      </c>
      <c r="F19" s="4">
        <f t="shared" si="2"/>
        <v>0</v>
      </c>
      <c r="G19" s="69"/>
      <c r="H19" s="116">
        <v>0</v>
      </c>
      <c r="I19" s="69" t="str">
        <f>IF(ISBLANK(G19), "", HLOOKUP(G19, 'Ficha inicial'!$AX$1:$BT$5, 2, FALSE))</f>
        <v/>
      </c>
      <c r="J19" s="69" t="str">
        <f t="shared" si="4"/>
        <v/>
      </c>
      <c r="K19" s="91"/>
      <c r="L19" s="122">
        <v>0</v>
      </c>
      <c r="M19" s="91" t="str">
        <f>IF(ISBLANK(K19), "", HLOOKUP(K19,'Ficha inicial'!$AF$1:$AW$2, 2, FALSE))</f>
        <v/>
      </c>
      <c r="N19" s="91" t="str">
        <f t="shared" si="3"/>
        <v/>
      </c>
    </row>
    <row r="20" spans="3:14" x14ac:dyDescent="0.25">
      <c r="C20" s="5" t="s">
        <v>25</v>
      </c>
      <c r="D20" s="106">
        <v>0</v>
      </c>
      <c r="E20" s="5" t="str">
        <f>IF(OR(ISBLANK($D$1),  ISBLANK($D$2)),"", HLOOKUP(C20,'Ficha inicial'!$K$1:$Z$5, 2, FALSE))</f>
        <v/>
      </c>
      <c r="F20" s="5">
        <f t="shared" si="2"/>
        <v>0</v>
      </c>
      <c r="G20" s="69"/>
      <c r="H20" s="116">
        <v>0</v>
      </c>
      <c r="I20" s="69" t="str">
        <f>IF(ISBLANK(G20), "", HLOOKUP(G20, 'Ficha inicial'!$AX$1:$BT$5, 2, FALSE))</f>
        <v/>
      </c>
      <c r="J20" s="69" t="str">
        <f t="shared" si="4"/>
        <v/>
      </c>
      <c r="K20" s="91"/>
      <c r="L20" s="122">
        <v>0</v>
      </c>
      <c r="M20" s="91" t="str">
        <f>IF(ISBLANK(K20), "", HLOOKUP(K20,'Ficha inicial'!$AF$1:$AW$2, 2, FALSE))</f>
        <v/>
      </c>
      <c r="N20" s="91" t="str">
        <f t="shared" si="3"/>
        <v/>
      </c>
    </row>
    <row r="21" spans="3:14" x14ac:dyDescent="0.25">
      <c r="C21" s="5" t="s">
        <v>26</v>
      </c>
      <c r="D21" s="106">
        <v>0</v>
      </c>
      <c r="E21" s="5" t="str">
        <f>IF(OR(ISBLANK($D$1),  ISBLANK($D$2)),"", HLOOKUP(C21,'Ficha inicial'!$K$1:$Z$5, 2, FALSE))</f>
        <v/>
      </c>
      <c r="F21" s="5">
        <f t="shared" si="2"/>
        <v>0</v>
      </c>
      <c r="G21" s="69"/>
      <c r="H21" s="116">
        <v>0</v>
      </c>
      <c r="I21" s="69" t="str">
        <f>IF(ISBLANK(G21), "", HLOOKUP(G21, 'Ficha inicial'!$AX$1:$BT$5, 2, FALSE))</f>
        <v/>
      </c>
      <c r="J21" s="69" t="str">
        <f t="shared" si="4"/>
        <v/>
      </c>
      <c r="K21" s="91"/>
      <c r="L21" s="122">
        <v>0</v>
      </c>
      <c r="M21" s="91" t="str">
        <f>IF(ISBLANK(K21), "", HLOOKUP(K21,'Ficha inicial'!$AF$1:$AW$2, 2, FALSE))</f>
        <v/>
      </c>
      <c r="N21" s="91" t="str">
        <f t="shared" si="3"/>
        <v/>
      </c>
    </row>
    <row r="22" spans="3:14" x14ac:dyDescent="0.25">
      <c r="C22" s="5" t="s">
        <v>27</v>
      </c>
      <c r="D22" s="106">
        <v>0</v>
      </c>
      <c r="E22" s="5" t="str">
        <f>IF(OR(ISBLANK($D$1),  ISBLANK($D$2)),"", HLOOKUP(C22,'Ficha inicial'!$K$1:$Z$5, 2, FALSE))</f>
        <v/>
      </c>
      <c r="F22" s="5">
        <f t="shared" si="2"/>
        <v>0</v>
      </c>
      <c r="G22" s="69"/>
      <c r="H22" s="116">
        <v>0</v>
      </c>
      <c r="I22" s="69" t="str">
        <f>IF(ISBLANK(G22), "", HLOOKUP(G22, 'Ficha inicial'!$AX$1:$BT$5, 2, FALSE))</f>
        <v/>
      </c>
      <c r="J22" s="69" t="str">
        <f t="shared" si="4"/>
        <v/>
      </c>
      <c r="K22" s="91"/>
      <c r="L22" s="122">
        <v>0</v>
      </c>
      <c r="M22" s="91" t="str">
        <f>IF(ISBLANK(K22), "", HLOOKUP(K22,'Ficha inicial'!$AF$1:$AW$2, 2, FALSE))</f>
        <v/>
      </c>
      <c r="N22" s="91" t="str">
        <f t="shared" si="3"/>
        <v/>
      </c>
    </row>
    <row r="23" spans="3:14" x14ac:dyDescent="0.25">
      <c r="C23" s="6" t="s">
        <v>28</v>
      </c>
      <c r="D23" s="107">
        <v>0</v>
      </c>
      <c r="E23" s="6" t="str">
        <f>IF(OR(ISBLANK($D$1),  ISBLANK($D$2)),"", HLOOKUP(C23,'Ficha inicial'!$K$1:$Z$5, 2, FALSE))</f>
        <v/>
      </c>
      <c r="F23" s="6">
        <f t="shared" si="2"/>
        <v>0</v>
      </c>
      <c r="G23" s="69"/>
      <c r="H23" s="116">
        <v>0</v>
      </c>
      <c r="I23" s="69" t="str">
        <f>IF(ISBLANK(G23), "", HLOOKUP(G23, 'Ficha inicial'!$AX$1:$BT$5, 2, FALSE))</f>
        <v/>
      </c>
      <c r="J23" s="69" t="str">
        <f t="shared" si="4"/>
        <v/>
      </c>
      <c r="K23" s="91"/>
      <c r="L23" s="122">
        <v>0</v>
      </c>
      <c r="M23" s="91" t="str">
        <f>IF(ISBLANK(K23), "", HLOOKUP(K23,'Ficha inicial'!$AF$1:$AW$2, 2, FALSE))</f>
        <v/>
      </c>
      <c r="N23" s="91" t="str">
        <f t="shared" si="3"/>
        <v/>
      </c>
    </row>
    <row r="24" spans="3:14" x14ac:dyDescent="0.25">
      <c r="C24" s="6" t="s">
        <v>29</v>
      </c>
      <c r="D24" s="107">
        <v>0</v>
      </c>
      <c r="E24" s="6" t="str">
        <f>IF(OR(ISBLANK($D$1),  ISBLANK($D$2)),"", HLOOKUP(C24,'Ficha inicial'!$K$1:$Z$5, 2, FALSE))</f>
        <v/>
      </c>
      <c r="F24" s="6">
        <f t="shared" si="2"/>
        <v>0</v>
      </c>
      <c r="K24" s="91"/>
      <c r="L24" s="122">
        <v>0</v>
      </c>
      <c r="M24" s="91" t="str">
        <f>IF(ISBLANK(K24), "", HLOOKUP(K24,'Ficha inicial'!$AF$1:$AW$2, 2, FALSE))</f>
        <v/>
      </c>
      <c r="N24" s="91" t="str">
        <f t="shared" si="3"/>
        <v/>
      </c>
    </row>
    <row r="25" spans="3:14" x14ac:dyDescent="0.25">
      <c r="C25" s="6" t="s">
        <v>30</v>
      </c>
      <c r="D25" s="107">
        <v>0</v>
      </c>
      <c r="E25" s="6" t="str">
        <f>IF(OR(ISBLANK($D$1),  ISBLANK($D$2)),"", HLOOKUP(C25,'Ficha inicial'!$K$1:$Z$5, 2, FALSE))</f>
        <v/>
      </c>
      <c r="F25" s="6">
        <f t="shared" si="2"/>
        <v>0</v>
      </c>
      <c r="K25" s="91"/>
      <c r="L25" s="122">
        <v>0</v>
      </c>
      <c r="M25" s="91" t="str">
        <f>IF(ISBLANK(K25), "", HLOOKUP(K25,'Ficha inicial'!$AF$1:$AW$2, 2, FALSE))</f>
        <v/>
      </c>
      <c r="N25" s="91" t="str">
        <f t="shared" si="3"/>
        <v/>
      </c>
    </row>
    <row r="26" spans="3:14" x14ac:dyDescent="0.25">
      <c r="C26" s="94" t="s">
        <v>157</v>
      </c>
      <c r="D26" s="108"/>
      <c r="E26" s="94" t="s">
        <v>158</v>
      </c>
      <c r="F26" s="94" t="s">
        <v>132</v>
      </c>
      <c r="G26" s="98" t="s">
        <v>156</v>
      </c>
      <c r="H26" s="117">
        <f>R10</f>
        <v>5</v>
      </c>
      <c r="I26" s="98" t="s">
        <v>158</v>
      </c>
      <c r="J26" s="98" t="s">
        <v>132</v>
      </c>
      <c r="K26" s="91"/>
      <c r="L26" s="122">
        <v>0</v>
      </c>
      <c r="M26" s="91" t="str">
        <f>IF(ISBLANK(K26), "", HLOOKUP(K26,'Ficha inicial'!$AF$1:$AW$2, 2, FALSE))</f>
        <v/>
      </c>
      <c r="N26" s="91" t="str">
        <f t="shared" si="3"/>
        <v/>
      </c>
    </row>
    <row r="27" spans="3:14" x14ac:dyDescent="0.25">
      <c r="C27" s="73" t="s">
        <v>125</v>
      </c>
      <c r="D27" s="109">
        <v>0</v>
      </c>
      <c r="E27" s="73" t="str">
        <f>IF(OR(ISBLANK($D$1),  ISBLANK($D$2)),"", HLOOKUP(C27,'Ficha inicial'!$DM$1:$DS$5,2,FALSE))</f>
        <v/>
      </c>
      <c r="F27" s="73">
        <f t="shared" ref="F27:F33" si="5">SUM(D27:E27)</f>
        <v>0</v>
      </c>
      <c r="G27" s="72" t="s">
        <v>118</v>
      </c>
      <c r="H27" s="118">
        <v>0</v>
      </c>
      <c r="I27" s="72" t="str">
        <f>IF(OR(ISBLANK($D$1),  ISBLANK($D$2)),"",HLOOKUP(G27,'Ficha inicial'!$DF$1:$DL$2,2,FALSE))</f>
        <v/>
      </c>
      <c r="J27" s="72">
        <f t="shared" ref="J27:J33" si="6">IF(ISBLANK(G27),"",SUM(H27:I27))</f>
        <v>0</v>
      </c>
      <c r="K27" s="101" t="s">
        <v>155</v>
      </c>
      <c r="L27" s="123">
        <f>R12</f>
        <v>2</v>
      </c>
      <c r="M27" s="101" t="s">
        <v>158</v>
      </c>
      <c r="N27" s="101" t="s">
        <v>132</v>
      </c>
    </row>
    <row r="28" spans="3:14" x14ac:dyDescent="0.25">
      <c r="C28" s="73" t="s">
        <v>126</v>
      </c>
      <c r="D28" s="109">
        <v>0</v>
      </c>
      <c r="E28" s="73" t="str">
        <f>IF(OR(ISBLANK($D$1),  ISBLANK($D$2)),"", HLOOKUP(C28,'Ficha inicial'!$DM$1:$DS$5,2,FALSE))</f>
        <v/>
      </c>
      <c r="F28" s="73">
        <f t="shared" si="5"/>
        <v>0</v>
      </c>
      <c r="G28" s="72" t="s">
        <v>119</v>
      </c>
      <c r="H28" s="118">
        <v>0</v>
      </c>
      <c r="I28" s="72" t="str">
        <f>IF(OR(ISBLANK($D$1),  ISBLANK($D$2)),"",HLOOKUP(G28,'Ficha inicial'!$DF$1:$DL$2,2,FALSE))</f>
        <v/>
      </c>
      <c r="J28" s="72">
        <f t="shared" si="6"/>
        <v>0</v>
      </c>
      <c r="K28" s="71"/>
      <c r="L28" s="124">
        <v>0</v>
      </c>
      <c r="M28" s="71" t="str">
        <f>IF(ISBLANK(K28), "", HLOOKUP(K28,'Ficha inicial'!$CM$1:$DE$5, 2, FALSE))</f>
        <v/>
      </c>
      <c r="N28" s="71" t="str">
        <f>IF(ISBLANK(K28),"",SUM(L28:M28))</f>
        <v/>
      </c>
    </row>
    <row r="29" spans="3:14" x14ac:dyDescent="0.25">
      <c r="C29" s="73" t="s">
        <v>127</v>
      </c>
      <c r="D29" s="109">
        <v>0</v>
      </c>
      <c r="E29" s="73" t="str">
        <f>IF(OR(ISBLANK($D$1),  ISBLANK($D$2)),"", HLOOKUP(C29,'Ficha inicial'!$DM$1:$DS$5,2,FALSE))</f>
        <v/>
      </c>
      <c r="F29" s="73">
        <f t="shared" si="5"/>
        <v>0</v>
      </c>
      <c r="G29" s="72" t="s">
        <v>120</v>
      </c>
      <c r="H29" s="118">
        <v>0</v>
      </c>
      <c r="I29" s="72" t="str">
        <f>IF(OR(ISBLANK($D$1),  ISBLANK($D$2)),"",HLOOKUP(G29,'Ficha inicial'!$DF$1:$DL$2,2,FALSE))</f>
        <v/>
      </c>
      <c r="J29" s="72">
        <f t="shared" si="6"/>
        <v>0</v>
      </c>
      <c r="K29" s="71"/>
      <c r="L29" s="124">
        <v>0</v>
      </c>
      <c r="M29" s="71" t="str">
        <f>IF(ISBLANK(K29), "", HLOOKUP(K29,'Ficha inicial'!$CM$1:$DE$5, 2, FALSE))</f>
        <v/>
      </c>
      <c r="N29" s="71" t="str">
        <f>IF(ISBLANK(K29),"",SUM(L29:M29))</f>
        <v/>
      </c>
    </row>
    <row r="30" spans="3:14" x14ac:dyDescent="0.25">
      <c r="C30" s="73" t="s">
        <v>128</v>
      </c>
      <c r="D30" s="109">
        <v>0</v>
      </c>
      <c r="E30" s="73" t="str">
        <f>IF(OR(ISBLANK($D$1),  ISBLANK($D$2)),"", HLOOKUP(C30,'Ficha inicial'!$DM$1:$DS$5,2,FALSE))</f>
        <v/>
      </c>
      <c r="F30" s="73">
        <f t="shared" si="5"/>
        <v>0</v>
      </c>
      <c r="G30" s="72" t="s">
        <v>121</v>
      </c>
      <c r="H30" s="118">
        <v>0</v>
      </c>
      <c r="I30" s="72" t="str">
        <f>IF(OR(ISBLANK($D$1),  ISBLANK($D$2)),"",HLOOKUP(G30,'Ficha inicial'!$DF$1:$DL$2,2,FALSE))</f>
        <v/>
      </c>
      <c r="J30" s="72">
        <f t="shared" si="6"/>
        <v>0</v>
      </c>
      <c r="K30" s="71"/>
      <c r="L30" s="124">
        <v>0</v>
      </c>
      <c r="M30" s="71" t="str">
        <f>IF(ISBLANK(K30), "", HLOOKUP(K30,'Ficha inicial'!$CM$1:$DE$5, 2, FALSE))</f>
        <v/>
      </c>
      <c r="N30" s="71" t="str">
        <f>IF(ISBLANK(K30),"",SUM(L30:M30))</f>
        <v/>
      </c>
    </row>
    <row r="31" spans="3:14" x14ac:dyDescent="0.25">
      <c r="C31" s="73" t="s">
        <v>129</v>
      </c>
      <c r="D31" s="109">
        <v>0</v>
      </c>
      <c r="E31" s="73" t="str">
        <f>IF(OR(ISBLANK($D$1),  ISBLANK($D$2)),"", HLOOKUP(C31,'Ficha inicial'!$DM$1:$DS$5,2,FALSE))</f>
        <v/>
      </c>
      <c r="F31" s="73">
        <f t="shared" si="5"/>
        <v>0</v>
      </c>
      <c r="G31" s="72" t="s">
        <v>122</v>
      </c>
      <c r="H31" s="118">
        <v>0</v>
      </c>
      <c r="I31" s="72" t="str">
        <f>IF(OR(ISBLANK($D$1),  ISBLANK($D$2)),"",HLOOKUP(G31,'Ficha inicial'!$DF$1:$DL$2,2,FALSE))</f>
        <v/>
      </c>
      <c r="J31" s="72">
        <f t="shared" si="6"/>
        <v>0</v>
      </c>
      <c r="K31" s="71"/>
      <c r="L31" s="124">
        <v>0</v>
      </c>
      <c r="M31" s="71" t="str">
        <f>IF(ISBLANK(K31), "", HLOOKUP(K31,'Ficha inicial'!$CM$1:$DE$5, 2, FALSE))</f>
        <v/>
      </c>
      <c r="N31" s="71" t="str">
        <f t="shared" ref="N31:N33" si="7">IF(ISBLANK(K31),"",SUM(L31:M31))</f>
        <v/>
      </c>
    </row>
    <row r="32" spans="3:14" x14ac:dyDescent="0.25">
      <c r="C32" s="73" t="s">
        <v>130</v>
      </c>
      <c r="D32" s="109">
        <v>0</v>
      </c>
      <c r="E32" s="73" t="str">
        <f>IF(OR(ISBLANK($D$1),  ISBLANK($D$2)),"", HLOOKUP(C32,'Ficha inicial'!$DM$1:$DS$5,2,FALSE))</f>
        <v/>
      </c>
      <c r="F32" s="73">
        <f t="shared" si="5"/>
        <v>0</v>
      </c>
      <c r="G32" s="72" t="s">
        <v>123</v>
      </c>
      <c r="H32" s="118">
        <v>0</v>
      </c>
      <c r="I32" s="72" t="str">
        <f>IF(OR(ISBLANK($D$1),  ISBLANK($D$2)),"",HLOOKUP(G32,'Ficha inicial'!$DF$1:$DL$2,2,FALSE))</f>
        <v/>
      </c>
      <c r="J32" s="72">
        <f t="shared" si="6"/>
        <v>0</v>
      </c>
      <c r="K32" s="71"/>
      <c r="L32" s="124">
        <v>0</v>
      </c>
      <c r="M32" s="71" t="str">
        <f>IF(ISBLANK(K32), "", HLOOKUP(K32,'Ficha inicial'!$CM$1:$DE$5, 2, FALSE))</f>
        <v/>
      </c>
      <c r="N32" s="71" t="str">
        <f t="shared" si="7"/>
        <v/>
      </c>
    </row>
    <row r="33" spans="3:14" x14ac:dyDescent="0.25">
      <c r="C33" s="73" t="s">
        <v>131</v>
      </c>
      <c r="D33" s="109">
        <v>0</v>
      </c>
      <c r="E33" s="73" t="str">
        <f>IF(OR(ISBLANK($D$1),  ISBLANK($D$2)),"", HLOOKUP(C33,'Ficha inicial'!$DM$1:$DS$5,2,FALSE))</f>
        <v/>
      </c>
      <c r="F33" s="73">
        <f t="shared" si="5"/>
        <v>0</v>
      </c>
      <c r="G33" s="72" t="s">
        <v>124</v>
      </c>
      <c r="H33" s="118">
        <v>0</v>
      </c>
      <c r="I33" s="72" t="str">
        <f>IF(OR(ISBLANK($D$1),  ISBLANK($D$2)),"",HLOOKUP(G33,'Ficha inicial'!$DF$1:$DL$2,2,FALSE))</f>
        <v/>
      </c>
      <c r="J33" s="72">
        <f t="shared" si="6"/>
        <v>0</v>
      </c>
      <c r="K33" s="71"/>
      <c r="L33" s="124">
        <v>0</v>
      </c>
      <c r="M33" s="71" t="str">
        <f>IF(ISBLANK(K33), "", HLOOKUP(K33,'Ficha inicial'!$CM$1:$DE$5, 2, FALSE))</f>
        <v/>
      </c>
      <c r="N33" s="71" t="str">
        <f t="shared" si="7"/>
        <v/>
      </c>
    </row>
  </sheetData>
  <protectedRanges>
    <protectedRange sqref="D1:F2" name="Rango5"/>
    <protectedRange sqref="G16:G23" name="Rango1"/>
    <protectedRange sqref="K5:K12" name="Rango2"/>
    <protectedRange sqref="K14:K26" name="Rango3"/>
    <protectedRange sqref="K28:K33" name="Rango4"/>
  </protectedRanges>
  <mergeCells count="4">
    <mergeCell ref="X4:Y4"/>
    <mergeCell ref="D1:F1"/>
    <mergeCell ref="D2:F2"/>
    <mergeCell ref="G1:N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Button 1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Button 2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Button 2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Button 32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7" name="Button 59">
              <controlPr defaultSize="0" print="0" autoFill="0" autoPict="0" macro="[0]!IncrementarBloqueo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8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7</xdr:row>
                    <xdr:rowOff>9525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9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0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1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2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3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13</xdr:row>
                    <xdr:rowOff>9525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4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5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6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7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8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9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0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1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22</xdr:row>
                    <xdr:rowOff>9525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2" name="Button 74">
              <controlPr defaultSize="0" print="0" autoFill="0" autoPict="0" macro="[0]!IncrementarEquitacion">
                <anchor moveWithCells="1" sizeWithCells="1">
                  <from>
                    <xdr:col>7</xdr:col>
                    <xdr:colOff>409575</xdr:colOff>
                    <xdr:row>26</xdr:row>
                    <xdr:rowOff>9525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3" name="Button 75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4" name="Button 76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5" name="Button 77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6" name="Button 78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7" name="Button 79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8" name="Button 80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9" name="Button 81">
              <controlPr defaultSize="0" print="0" autoFill="0" autoPict="0" macro="[0]!IncrL5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0" name="Button 82">
              <controlPr defaultSize="0" print="0" autoFill="0" autoPict="0" macro="[0]!IncrL6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1" name="Button 83">
              <controlPr defaultSize="0" print="0" autoFill="0" autoPict="0" macro="[0]!IncrL7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2" name="Button 84">
              <controlPr defaultSize="0" print="0" autoFill="0" autoPict="0" macro="[0]!IncrL8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3" name="Button 85">
              <controlPr defaultSize="0" print="0" autoFill="0" autoPict="0" macro="[0]!IncrL9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4" name="Button 86">
              <controlPr defaultSize="0" print="0" autoFill="0" autoPict="0" macro="[0]!IncrL10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5" name="Button 87">
              <controlPr defaultSize="0" print="0" autoFill="0" autoPict="0" macro="[0]!IncrL11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6" name="Button 88">
              <controlPr defaultSize="0" print="0" autoFill="0" autoPict="0" macro="[0]!IncrL12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7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8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9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0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1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2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3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4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5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6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7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8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9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0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1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2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93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4" name="Button 120">
              <controlPr defaultSize="0" print="0" autoFill="0" autoPict="0" macro="[0]!DecrementarBloqueo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95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7</xdr:row>
                    <xdr:rowOff>9525</xdr:rowOff>
                  </from>
                  <to>
                    <xdr:col>7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6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7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8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9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00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7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01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02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03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04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05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06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07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8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9" name="Button 135">
              <controlPr defaultSize="0" print="0" autoFill="0" autoPict="0" macro="[0]!DecrementarEquitacion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10" name="Button 136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11" name="Button 137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12" name="Button 138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13" name="Button 139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14" name="Button 140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5" name="Button 141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16" name="Button 142">
              <controlPr defaultSize="0" print="0" autoFill="0" autoPict="0" macro="[0]!DecrL5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17" name="Button 143">
              <controlPr defaultSize="0" print="0" autoFill="0" autoPict="0" macro="[0]!DecrL6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18" name="Button 144">
              <controlPr defaultSize="0" print="0" autoFill="0" autoPict="0" macro="[0]!DecrL7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9" name="Button 145">
              <controlPr defaultSize="0" print="0" autoFill="0" autoPict="0" macro="[0]!DecrL8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20" name="Button 146">
              <controlPr defaultSize="0" print="0" autoFill="0" autoPict="0" macro="[0]!DecrL9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21" name="Button 147">
              <controlPr defaultSize="0" print="0" autoFill="0" autoPict="0" macro="[0]!DecrL10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22" name="Button 148">
              <controlPr defaultSize="0" print="0" autoFill="0" autoPict="0" macro="[0]!DecrL11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23" name="Button 149">
              <controlPr defaultSize="0" print="0" autoFill="0" autoPict="0" macro="[0]!DecrL12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24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25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26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27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28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9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30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31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32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33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34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35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36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37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38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9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40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41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2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3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4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5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6" name="Button 183">
              <controlPr defaultSize="0" print="0" autoFill="0" autoPict="0" macro="[0]!DecrementarArma5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47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48" name="Button 185">
              <controlPr defaultSize="0" print="0" autoFill="0" autoPict="0" macro="[0]!DecrementarArma6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9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50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51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52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53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54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55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56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57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58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9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60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61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62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63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64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65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66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67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68" name="Button 205">
              <controlPr defaultSize="0" print="0" autoFill="0" autoPict="0" macro="[0]!IncrementarPesca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9" name="Button 206">
              <controlPr defaultSize="0" print="0" autoFill="0" autoPict="0" macro="[0]!DecrementarPesca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70" name="Button 207">
              <controlPr defaultSize="0" print="0" autoFill="0" autoPict="0" macro="[0]!IncrementarArqueologia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71" name="Button 208">
              <controlPr defaultSize="0" print="0" autoFill="0" autoPict="0" macro="[0]!DecrementarArqueologia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72" name="Button 209">
              <controlPr defaultSize="0" print="0" autoFill="0" autoPict="0" macro="[0]!IncrementarMedicina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73" name="Button 210">
              <controlPr defaultSize="0" print="0" autoFill="0" autoPict="0" macro="[0]!DecrementarMedicina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74" name="Button 211">
              <controlPr defaultSize="0" print="0" autoFill="0" autoPict="0" macro="[0]!IncrementarCocina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75" name="Button 212">
              <controlPr defaultSize="0" print="0" autoFill="0" autoPict="0" macro="[0]!DecrementarCocina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76" name="Button 213">
              <controlPr defaultSize="0" print="0" autoFill="0" autoPict="0" macro="[0]!IncrementarConocimientoMagia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77" name="Button 214">
              <controlPr defaultSize="0" print="0" autoFill="0" autoPict="0" macro="[0]!DecrementarConocimientoMagia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78" name="Button 215">
              <controlPr defaultSize="0" print="0" autoFill="0" autoPict="0" macro="[0]!IncrementarCaza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79" name="Button 216">
              <controlPr defaultSize="0" print="0" autoFill="0" autoPict="0" macro="[0]!DecrementarCaza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80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81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82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83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84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85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86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87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88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89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90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91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92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93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K14:K25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K5:K12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K28:K33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D5D4F9D6-929A-40F2-AFA9-17F58F114028}">
          <x14:formula1>
            <xm:f>Razas!$A$2:$A$40</xm:f>
          </x14:formula1>
          <xm:sqref>D1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G16:G23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U5"/>
  <sheetViews>
    <sheetView topLeftCell="AL1" zoomScaleNormal="100" workbookViewId="0">
      <selection activeCell="D2" sqref="D2:F2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200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t="s">
        <v>132</v>
      </c>
      <c r="B2" t="e">
        <f>SUM(B3:B4)</f>
        <v>#N/A</v>
      </c>
      <c r="C2" s="62" t="e">
        <f t="shared" ref="C2:J2" si="0">SUM(C3:C5)</f>
        <v>#N/A</v>
      </c>
      <c r="D2" s="62" t="e">
        <f t="shared" si="0"/>
        <v>#N/A</v>
      </c>
      <c r="E2" s="62" t="e">
        <f t="shared" si="0"/>
        <v>#N/A</v>
      </c>
      <c r="F2" s="62" t="e">
        <f t="shared" si="0"/>
        <v>#N/A</v>
      </c>
      <c r="G2" s="62" t="e">
        <f t="shared" si="0"/>
        <v>#N/A</v>
      </c>
      <c r="H2" s="62" t="e">
        <f t="shared" si="0"/>
        <v>#N/A</v>
      </c>
      <c r="I2" s="62" t="e">
        <f t="shared" si="0"/>
        <v>#N/A</v>
      </c>
      <c r="J2" s="62" t="e">
        <f t="shared" si="0"/>
        <v>#N/A</v>
      </c>
      <c r="K2" s="63" t="e">
        <f t="shared" ref="K2:AP2" si="1">SUM(K3:K4)</f>
        <v>#N/A</v>
      </c>
      <c r="L2" s="63" t="e">
        <f t="shared" si="1"/>
        <v>#N/A</v>
      </c>
      <c r="M2" s="63" t="e">
        <f t="shared" si="1"/>
        <v>#N/A</v>
      </c>
      <c r="N2" s="63" t="e">
        <f t="shared" si="1"/>
        <v>#N/A</v>
      </c>
      <c r="O2" s="63" t="e">
        <f t="shared" si="1"/>
        <v>#N/A</v>
      </c>
      <c r="P2" s="63" t="e">
        <f t="shared" si="1"/>
        <v>#N/A</v>
      </c>
      <c r="Q2" s="64" t="e">
        <f t="shared" si="1"/>
        <v>#N/A</v>
      </c>
      <c r="R2" s="64" t="e">
        <f t="shared" si="1"/>
        <v>#N/A</v>
      </c>
      <c r="S2" s="64" t="e">
        <f t="shared" si="1"/>
        <v>#N/A</v>
      </c>
      <c r="T2" s="65" t="e">
        <f t="shared" si="1"/>
        <v>#N/A</v>
      </c>
      <c r="U2" s="65" t="e">
        <f t="shared" si="1"/>
        <v>#N/A</v>
      </c>
      <c r="V2" s="65" t="e">
        <f t="shared" si="1"/>
        <v>#N/A</v>
      </c>
      <c r="W2" s="66" t="e">
        <f t="shared" si="1"/>
        <v>#N/A</v>
      </c>
      <c r="X2" s="66" t="e">
        <f t="shared" si="1"/>
        <v>#N/A</v>
      </c>
      <c r="Y2" s="66" t="e">
        <f t="shared" si="1"/>
        <v>#N/A</v>
      </c>
      <c r="Z2" s="66" t="e">
        <f t="shared" si="1"/>
        <v>#N/A</v>
      </c>
      <c r="AA2" s="67" t="e">
        <f t="shared" si="1"/>
        <v>#N/A</v>
      </c>
      <c r="AB2" s="67" t="e">
        <f t="shared" si="1"/>
        <v>#N/A</v>
      </c>
      <c r="AC2" s="67" t="e">
        <f t="shared" si="1"/>
        <v>#N/A</v>
      </c>
      <c r="AD2" s="67" t="e">
        <f t="shared" si="1"/>
        <v>#N/A</v>
      </c>
      <c r="AE2" s="67" t="e">
        <f t="shared" si="1"/>
        <v>#N/A</v>
      </c>
      <c r="AF2" s="68" t="e">
        <f t="shared" si="1"/>
        <v>#N/A</v>
      </c>
      <c r="AG2" s="68" t="e">
        <f t="shared" si="1"/>
        <v>#N/A</v>
      </c>
      <c r="AH2" s="68" t="e">
        <f t="shared" si="1"/>
        <v>#N/A</v>
      </c>
      <c r="AI2" s="68" t="e">
        <f t="shared" si="1"/>
        <v>#N/A</v>
      </c>
      <c r="AJ2" s="68" t="e">
        <f t="shared" si="1"/>
        <v>#N/A</v>
      </c>
      <c r="AK2" s="68" t="e">
        <f t="shared" si="1"/>
        <v>#N/A</v>
      </c>
      <c r="AL2" s="68" t="e">
        <f t="shared" si="1"/>
        <v>#N/A</v>
      </c>
      <c r="AM2" s="68" t="e">
        <f t="shared" si="1"/>
        <v>#N/A</v>
      </c>
      <c r="AN2" s="68" t="e">
        <f t="shared" si="1"/>
        <v>#N/A</v>
      </c>
      <c r="AO2" s="68" t="e">
        <f t="shared" si="1"/>
        <v>#N/A</v>
      </c>
      <c r="AP2" s="68" t="e">
        <f t="shared" si="1"/>
        <v>#N/A</v>
      </c>
      <c r="AQ2" s="68" t="e">
        <f t="shared" ref="AQ2:BV2" si="2">SUM(AQ3:AQ4)</f>
        <v>#N/A</v>
      </c>
      <c r="AR2" s="68" t="e">
        <f t="shared" si="2"/>
        <v>#N/A</v>
      </c>
      <c r="AS2" s="68" t="e">
        <f t="shared" si="2"/>
        <v>#N/A</v>
      </c>
      <c r="AT2" s="68" t="e">
        <f t="shared" si="2"/>
        <v>#N/A</v>
      </c>
      <c r="AU2" s="68" t="e">
        <f t="shared" si="2"/>
        <v>#N/A</v>
      </c>
      <c r="AV2" s="68" t="e">
        <f t="shared" si="2"/>
        <v>#N/A</v>
      </c>
      <c r="AW2" s="68" t="e">
        <f t="shared" si="2"/>
        <v>#N/A</v>
      </c>
      <c r="AX2" s="69" t="e">
        <f t="shared" si="2"/>
        <v>#N/A</v>
      </c>
      <c r="AY2" s="69" t="e">
        <f t="shared" si="2"/>
        <v>#N/A</v>
      </c>
      <c r="AZ2" s="69" t="e">
        <f t="shared" si="2"/>
        <v>#N/A</v>
      </c>
      <c r="BA2" s="69" t="e">
        <f t="shared" si="2"/>
        <v>#N/A</v>
      </c>
      <c r="BB2" s="69" t="e">
        <f t="shared" si="2"/>
        <v>#N/A</v>
      </c>
      <c r="BC2" s="69" t="e">
        <f t="shared" si="2"/>
        <v>#N/A</v>
      </c>
      <c r="BD2" s="69" t="e">
        <f t="shared" si="2"/>
        <v>#N/A</v>
      </c>
      <c r="BE2" s="69" t="e">
        <f t="shared" si="2"/>
        <v>#N/A</v>
      </c>
      <c r="BF2" s="69" t="e">
        <f t="shared" si="2"/>
        <v>#N/A</v>
      </c>
      <c r="BG2" s="69" t="e">
        <f t="shared" si="2"/>
        <v>#N/A</v>
      </c>
      <c r="BH2" s="69" t="e">
        <f t="shared" si="2"/>
        <v>#N/A</v>
      </c>
      <c r="BI2" s="69" t="e">
        <f t="shared" si="2"/>
        <v>#N/A</v>
      </c>
      <c r="BJ2" s="69" t="e">
        <f t="shared" si="2"/>
        <v>#N/A</v>
      </c>
      <c r="BK2" s="69" t="e">
        <f t="shared" si="2"/>
        <v>#N/A</v>
      </c>
      <c r="BL2" s="69" t="e">
        <f t="shared" si="2"/>
        <v>#N/A</v>
      </c>
      <c r="BM2" s="69" t="e">
        <f t="shared" si="2"/>
        <v>#N/A</v>
      </c>
      <c r="BN2" s="69" t="e">
        <f t="shared" si="2"/>
        <v>#N/A</v>
      </c>
      <c r="BO2" s="69" t="e">
        <f t="shared" si="2"/>
        <v>#N/A</v>
      </c>
      <c r="BP2" s="69" t="e">
        <f t="shared" si="2"/>
        <v>#N/A</v>
      </c>
      <c r="BQ2" s="69" t="e">
        <f t="shared" si="2"/>
        <v>#N/A</v>
      </c>
      <c r="BR2" s="69" t="e">
        <f t="shared" si="2"/>
        <v>#N/A</v>
      </c>
      <c r="BS2" s="69" t="e">
        <f t="shared" si="2"/>
        <v>#N/A</v>
      </c>
      <c r="BT2" s="69" t="e">
        <f t="shared" si="2"/>
        <v>#N/A</v>
      </c>
      <c r="BU2" s="70" t="e">
        <f t="shared" si="2"/>
        <v>#N/A</v>
      </c>
      <c r="BV2" s="70" t="e">
        <f t="shared" si="2"/>
        <v>#N/A</v>
      </c>
      <c r="BW2" s="70" t="e">
        <f t="shared" ref="BW2:DB2" si="3">SUM(BW3:BW4)</f>
        <v>#N/A</v>
      </c>
      <c r="BX2" s="70" t="e">
        <f t="shared" si="3"/>
        <v>#N/A</v>
      </c>
      <c r="BY2" s="70" t="e">
        <f t="shared" si="3"/>
        <v>#N/A</v>
      </c>
      <c r="BZ2" s="70" t="e">
        <f t="shared" si="3"/>
        <v>#N/A</v>
      </c>
      <c r="CA2" s="70" t="e">
        <f t="shared" si="3"/>
        <v>#N/A</v>
      </c>
      <c r="CB2" s="70" t="e">
        <f t="shared" si="3"/>
        <v>#N/A</v>
      </c>
      <c r="CC2" s="70" t="e">
        <f t="shared" si="3"/>
        <v>#N/A</v>
      </c>
      <c r="CD2" s="70" t="e">
        <f t="shared" si="3"/>
        <v>#N/A</v>
      </c>
      <c r="CE2" s="70" t="e">
        <f t="shared" si="3"/>
        <v>#N/A</v>
      </c>
      <c r="CF2" s="70" t="e">
        <f t="shared" si="3"/>
        <v>#N/A</v>
      </c>
      <c r="CG2" s="70" t="e">
        <f t="shared" si="3"/>
        <v>#N/A</v>
      </c>
      <c r="CH2" s="70" t="e">
        <f t="shared" si="3"/>
        <v>#N/A</v>
      </c>
      <c r="CI2" s="70" t="e">
        <f t="shared" si="3"/>
        <v>#N/A</v>
      </c>
      <c r="CJ2" s="70" t="e">
        <f t="shared" si="3"/>
        <v>#N/A</v>
      </c>
      <c r="CK2" s="70" t="e">
        <f t="shared" si="3"/>
        <v>#N/A</v>
      </c>
      <c r="CL2" s="70" t="e">
        <f t="shared" si="3"/>
        <v>#N/A</v>
      </c>
      <c r="CM2" s="71" t="e">
        <f t="shared" si="3"/>
        <v>#N/A</v>
      </c>
      <c r="CN2" s="71" t="e">
        <f t="shared" si="3"/>
        <v>#N/A</v>
      </c>
      <c r="CO2" s="71" t="e">
        <f t="shared" si="3"/>
        <v>#N/A</v>
      </c>
      <c r="CP2" s="71" t="e">
        <f t="shared" si="3"/>
        <v>#N/A</v>
      </c>
      <c r="CQ2" s="71" t="e">
        <f t="shared" si="3"/>
        <v>#N/A</v>
      </c>
      <c r="CR2" s="71" t="e">
        <f t="shared" si="3"/>
        <v>#N/A</v>
      </c>
      <c r="CS2" s="71" t="e">
        <f t="shared" si="3"/>
        <v>#N/A</v>
      </c>
      <c r="CT2" s="71" t="e">
        <f t="shared" si="3"/>
        <v>#N/A</v>
      </c>
      <c r="CU2" s="71" t="e">
        <f t="shared" si="3"/>
        <v>#N/A</v>
      </c>
      <c r="CV2" s="71" t="e">
        <f t="shared" si="3"/>
        <v>#N/A</v>
      </c>
      <c r="CW2" s="71" t="e">
        <f t="shared" si="3"/>
        <v>#N/A</v>
      </c>
      <c r="CX2" s="71" t="e">
        <f t="shared" si="3"/>
        <v>#N/A</v>
      </c>
      <c r="CY2" s="71" t="e">
        <f t="shared" si="3"/>
        <v>#N/A</v>
      </c>
      <c r="CZ2" s="71" t="e">
        <f t="shared" si="3"/>
        <v>#N/A</v>
      </c>
      <c r="DA2" s="71" t="e">
        <f t="shared" si="3"/>
        <v>#N/A</v>
      </c>
      <c r="DB2" s="71" t="e">
        <f t="shared" si="3"/>
        <v>#N/A</v>
      </c>
      <c r="DC2" s="71" t="e">
        <f t="shared" ref="DC2:DU2" si="4">SUM(DC3:DC4)</f>
        <v>#N/A</v>
      </c>
      <c r="DD2" s="71" t="e">
        <f t="shared" si="4"/>
        <v>#N/A</v>
      </c>
      <c r="DE2" s="71" t="e">
        <f t="shared" si="4"/>
        <v>#N/A</v>
      </c>
      <c r="DF2" s="72" t="e">
        <f t="shared" si="4"/>
        <v>#N/A</v>
      </c>
      <c r="DG2" s="72" t="e">
        <f t="shared" si="4"/>
        <v>#N/A</v>
      </c>
      <c r="DH2" s="72" t="e">
        <f t="shared" si="4"/>
        <v>#N/A</v>
      </c>
      <c r="DI2" s="72" t="e">
        <f t="shared" si="4"/>
        <v>#N/A</v>
      </c>
      <c r="DJ2" s="72" t="e">
        <f t="shared" si="4"/>
        <v>#N/A</v>
      </c>
      <c r="DK2" s="72" t="e">
        <f t="shared" si="4"/>
        <v>#N/A</v>
      </c>
      <c r="DL2" s="72" t="e">
        <f t="shared" si="4"/>
        <v>#N/A</v>
      </c>
      <c r="DM2" s="73" t="e">
        <f t="shared" si="4"/>
        <v>#N/A</v>
      </c>
      <c r="DN2" s="73" t="e">
        <f t="shared" si="4"/>
        <v>#N/A</v>
      </c>
      <c r="DO2" s="73" t="e">
        <f t="shared" si="4"/>
        <v>#N/A</v>
      </c>
      <c r="DP2" s="73" t="e">
        <f t="shared" si="4"/>
        <v>#N/A</v>
      </c>
      <c r="DQ2" s="73" t="e">
        <f t="shared" si="4"/>
        <v>#N/A</v>
      </c>
      <c r="DR2" s="73" t="e">
        <f t="shared" si="4"/>
        <v>#N/A</v>
      </c>
      <c r="DS2" s="73" t="e">
        <f t="shared" si="4"/>
        <v>#N/A</v>
      </c>
      <c r="DT2" t="e">
        <f t="shared" si="4"/>
        <v>#N/A</v>
      </c>
      <c r="DU2" t="e">
        <f t="shared" si="4"/>
        <v>#N/A</v>
      </c>
    </row>
    <row r="3" spans="1:125" x14ac:dyDescent="0.25">
      <c r="A3">
        <f>'Ficha completa'!D1</f>
        <v>0</v>
      </c>
      <c r="B3" t="e">
        <f>VLOOKUP($A$3,Razas!$A$2:$DU$40,COLUMN(B3)-COLUMN($B$3)+2,FALSE)</f>
        <v>#N/A</v>
      </c>
      <c r="C3" s="62" t="e">
        <f>VLOOKUP($A$3,Razas!$A$2:$DU$40,COLUMN(C3)-COLUMN($B$3)+2,FALSE)</f>
        <v>#N/A</v>
      </c>
      <c r="D3" s="62" t="e">
        <f>VLOOKUP($A$3,Razas!$A$2:$DU$40,COLUMN(D3)-COLUMN($B$3)+2,FALSE)</f>
        <v>#N/A</v>
      </c>
      <c r="E3" s="62" t="e">
        <f>VLOOKUP($A$3,Razas!$A$2:$DU$40,COLUMN(E3)-COLUMN($B$3)+2,FALSE)</f>
        <v>#N/A</v>
      </c>
      <c r="F3" s="62" t="e">
        <f>VLOOKUP($A$3,Razas!$A$2:$DU$40,COLUMN(F3)-COLUMN($B$3)+2,FALSE)</f>
        <v>#N/A</v>
      </c>
      <c r="G3" s="62" t="e">
        <f>VLOOKUP($A$3,Razas!$A$2:$DU$40,COLUMN(G3)-COLUMN($B$3)+2,FALSE)</f>
        <v>#N/A</v>
      </c>
      <c r="H3" s="62" t="e">
        <f>VLOOKUP($A$3,Razas!$A$2:$DU$40,COLUMN(H3)-COLUMN($B$3)+2,FALSE)</f>
        <v>#N/A</v>
      </c>
      <c r="I3" s="62" t="e">
        <f>VLOOKUP($A$3,Razas!$A$2:$DU$40,COLUMN(I3)-COLUMN($B$3)+2,FALSE)</f>
        <v>#N/A</v>
      </c>
      <c r="J3" s="62" t="e">
        <f>VLOOKUP($A$3,Razas!$A$2:$DU$40,COLUMN(J3)-COLUMN($B$3)+2,FALSE)</f>
        <v>#N/A</v>
      </c>
      <c r="K3" s="63" t="e">
        <f>VLOOKUP($A$3,Razas!$A$2:$DU$40,COLUMN(K3)-COLUMN($B$3)+2,FALSE)</f>
        <v>#N/A</v>
      </c>
      <c r="L3" s="63" t="e">
        <f>VLOOKUP($A$3,Razas!$A$2:$DU$40,COLUMN(L3)-COLUMN($B$3)+2,FALSE)</f>
        <v>#N/A</v>
      </c>
      <c r="M3" s="63" t="e">
        <f>VLOOKUP($A$3,Razas!$A$2:$DU$40,COLUMN(M3)-COLUMN($B$3)+2,FALSE)</f>
        <v>#N/A</v>
      </c>
      <c r="N3" s="63" t="e">
        <f>VLOOKUP($A$3,Razas!$A$2:$DU$40,COLUMN(N3)-COLUMN($B$3)+2,FALSE)</f>
        <v>#N/A</v>
      </c>
      <c r="O3" s="63" t="e">
        <f>VLOOKUP($A$3,Razas!$A$2:$DU$40,COLUMN(O3)-COLUMN($B$3)+2,FALSE)</f>
        <v>#N/A</v>
      </c>
      <c r="P3" s="63" t="e">
        <f>VLOOKUP($A$3,Razas!$A$2:$DU$40,COLUMN(P3)-COLUMN($B$3)+2,FALSE)</f>
        <v>#N/A</v>
      </c>
      <c r="Q3" s="64" t="e">
        <f>VLOOKUP($A$3,Razas!$A$2:$DU$40,COLUMN(Q3)-COLUMN($B$3)+2,FALSE)</f>
        <v>#N/A</v>
      </c>
      <c r="R3" s="64" t="e">
        <f>VLOOKUP($A$3,Razas!$A$2:$DU$40,COLUMN(R3)-COLUMN($B$3)+2,FALSE)</f>
        <v>#N/A</v>
      </c>
      <c r="S3" s="64" t="e">
        <f>VLOOKUP($A$3,Razas!$A$2:$DU$40,COLUMN(S3)-COLUMN($B$3)+2,FALSE)</f>
        <v>#N/A</v>
      </c>
      <c r="T3" s="65" t="e">
        <f>VLOOKUP($A$3,Razas!$A$2:$DU$40,COLUMN(T3)-COLUMN($B$3)+2,FALSE)</f>
        <v>#N/A</v>
      </c>
      <c r="U3" s="65" t="e">
        <f>VLOOKUP($A$3,Razas!$A$2:$DU$40,COLUMN(U3)-COLUMN($B$3)+2,FALSE)</f>
        <v>#N/A</v>
      </c>
      <c r="V3" s="65" t="e">
        <f>VLOOKUP($A$3,Razas!$A$2:$DU$40,COLUMN(V3)-COLUMN($B$3)+2,FALSE)</f>
        <v>#N/A</v>
      </c>
      <c r="W3" s="66" t="e">
        <f>VLOOKUP($A$3,Razas!$A$2:$DU$40,COLUMN(W3)-COLUMN($B$3)+2,FALSE)</f>
        <v>#N/A</v>
      </c>
      <c r="X3" s="66" t="e">
        <f>VLOOKUP($A$3,Razas!$A$2:$DU$40,COLUMN(X3)-COLUMN($B$3)+2,FALSE)</f>
        <v>#N/A</v>
      </c>
      <c r="Y3" s="66" t="e">
        <f>VLOOKUP($A$3,Razas!$A$2:$DU$40,COLUMN(Y3)-COLUMN($B$3)+2,FALSE)</f>
        <v>#N/A</v>
      </c>
      <c r="Z3" s="66" t="e">
        <f>VLOOKUP($A$3,Razas!$A$2:$DU$40,COLUMN(Z3)-COLUMN($B$3)+2,FALSE)</f>
        <v>#N/A</v>
      </c>
      <c r="AA3" s="67" t="e">
        <f>VLOOKUP($A$3,Razas!$A$2:$DU$40,COLUMN(AA3)-COLUMN($B$3)+2,FALSE)</f>
        <v>#N/A</v>
      </c>
      <c r="AB3" s="67" t="e">
        <f>VLOOKUP($A$3,Razas!$A$2:$DU$40,COLUMN(AB3)-COLUMN($B$3)+2,FALSE)</f>
        <v>#N/A</v>
      </c>
      <c r="AC3" s="67" t="e">
        <f>VLOOKUP($A$3,Razas!$A$2:$DU$40,COLUMN(AC3)-COLUMN($B$3)+2,FALSE)</f>
        <v>#N/A</v>
      </c>
      <c r="AD3" s="67" t="e">
        <f>VLOOKUP($A$3,Razas!$A$2:$DU$40,COLUMN(AD3)-COLUMN($B$3)+2,FALSE)</f>
        <v>#N/A</v>
      </c>
      <c r="AE3" s="67" t="e">
        <f>VLOOKUP($A$3,Razas!$A$2:$DU$40,COLUMN(AE3)-COLUMN($B$3)+2,FALSE)</f>
        <v>#N/A</v>
      </c>
      <c r="AF3" s="68" t="e">
        <f>VLOOKUP($A$3,Razas!$A$2:$DU$40,COLUMN(AF3)-COLUMN($B$3)+2,FALSE)</f>
        <v>#N/A</v>
      </c>
      <c r="AG3" s="68" t="e">
        <f>VLOOKUP($A$3,Razas!$A$2:$DU$40,COLUMN(AG3)-COLUMN($B$3)+2,FALSE)</f>
        <v>#N/A</v>
      </c>
      <c r="AH3" s="68" t="e">
        <f>VLOOKUP($A$3,Razas!$A$2:$DU$40,COLUMN(AH3)-COLUMN($B$3)+2,FALSE)</f>
        <v>#N/A</v>
      </c>
      <c r="AI3" s="68" t="e">
        <f>VLOOKUP($A$3,Razas!$A$2:$DU$40,COLUMN(AI3)-COLUMN($B$3)+2,FALSE)</f>
        <v>#N/A</v>
      </c>
      <c r="AJ3" s="68" t="e">
        <f>VLOOKUP($A$3,Razas!$A$2:$DU$40,COLUMN(AJ3)-COLUMN($B$3)+2,FALSE)</f>
        <v>#N/A</v>
      </c>
      <c r="AK3" s="68" t="e">
        <f>VLOOKUP($A$3,Razas!$A$2:$DU$40,COLUMN(AK3)-COLUMN($B$3)+2,FALSE)</f>
        <v>#N/A</v>
      </c>
      <c r="AL3" s="68" t="e">
        <f>VLOOKUP($A$3,Razas!$A$2:$DU$40,COLUMN(AL3)-COLUMN($B$3)+2,FALSE)</f>
        <v>#N/A</v>
      </c>
      <c r="AM3" s="68" t="e">
        <f>VLOOKUP($A$3,Razas!$A$2:$DU$40,COLUMN(AM3)-COLUMN($B$3)+2,FALSE)</f>
        <v>#N/A</v>
      </c>
      <c r="AN3" s="68" t="e">
        <f>VLOOKUP($A$3,Razas!$A$2:$DU$40,COLUMN(AN3)-COLUMN($B$3)+2,FALSE)</f>
        <v>#N/A</v>
      </c>
      <c r="AO3" s="68" t="e">
        <f>VLOOKUP($A$3,Razas!$A$2:$DU$40,COLUMN(AO3)-COLUMN($B$3)+2,FALSE)</f>
        <v>#N/A</v>
      </c>
      <c r="AP3" s="68" t="e">
        <f>VLOOKUP($A$3,Razas!$A$2:$DU$40,COLUMN(AP3)-COLUMN($B$3)+2,FALSE)</f>
        <v>#N/A</v>
      </c>
      <c r="AQ3" s="68" t="e">
        <f>VLOOKUP($A$3,Razas!$A$2:$DU$40,COLUMN(AQ3)-COLUMN($B$3)+2,FALSE)</f>
        <v>#N/A</v>
      </c>
      <c r="AR3" s="68" t="e">
        <f>VLOOKUP($A$3,Razas!$A$2:$DU$40,COLUMN(AR3)-COLUMN($B$3)+2,FALSE)</f>
        <v>#N/A</v>
      </c>
      <c r="AS3" s="68" t="e">
        <f>VLOOKUP($A$3,Razas!$A$2:$DU$40,COLUMN(AS3)-COLUMN($B$3)+2,FALSE)</f>
        <v>#N/A</v>
      </c>
      <c r="AT3" s="68" t="e">
        <f>VLOOKUP($A$3,Razas!$A$2:$DU$40,COLUMN(AT3)-COLUMN($B$3)+2,FALSE)</f>
        <v>#N/A</v>
      </c>
      <c r="AU3" s="68" t="e">
        <f>VLOOKUP($A$3,Razas!$A$2:$DU$40,COLUMN(AU3)-COLUMN($B$3)+2,FALSE)</f>
        <v>#N/A</v>
      </c>
      <c r="AV3" s="68" t="e">
        <f>VLOOKUP($A$3,Razas!$A$2:$DU$40,COLUMN(AV3)-COLUMN($B$3)+2,FALSE)</f>
        <v>#N/A</v>
      </c>
      <c r="AW3" s="68" t="e">
        <f>VLOOKUP($A$3,Razas!$A$2:$DU$40,COLUMN(AW3)-COLUMN($B$3)+2,FALSE)</f>
        <v>#N/A</v>
      </c>
      <c r="AX3" s="69" t="e">
        <f>VLOOKUP($A$3,Razas!$A$2:$DU$40,COLUMN(AX3)-COLUMN($B$3)+2,FALSE)</f>
        <v>#N/A</v>
      </c>
      <c r="AY3" s="69" t="e">
        <f>VLOOKUP($A$3,Razas!$A$2:$DU$40,COLUMN(AY3)-COLUMN($B$3)+2,FALSE)</f>
        <v>#N/A</v>
      </c>
      <c r="AZ3" s="69" t="e">
        <f>VLOOKUP($A$3,Razas!$A$2:$DU$40,COLUMN(AZ3)-COLUMN($B$3)+2,FALSE)</f>
        <v>#N/A</v>
      </c>
      <c r="BA3" s="69" t="e">
        <f>VLOOKUP($A$3,Razas!$A$2:$DU$40,COLUMN(BA3)-COLUMN($B$3)+2,FALSE)</f>
        <v>#N/A</v>
      </c>
      <c r="BB3" s="69" t="e">
        <f>VLOOKUP($A$3,Razas!$A$2:$DU$40,COLUMN(BB3)-COLUMN($B$3)+2,FALSE)</f>
        <v>#N/A</v>
      </c>
      <c r="BC3" s="69" t="e">
        <f>VLOOKUP($A$3,Razas!$A$2:$DU$40,COLUMN(BC3)-COLUMN($B$3)+2,FALSE)</f>
        <v>#N/A</v>
      </c>
      <c r="BD3" s="69" t="e">
        <f>VLOOKUP($A$3,Razas!$A$2:$DU$40,COLUMN(BD3)-COLUMN($B$3)+2,FALSE)</f>
        <v>#N/A</v>
      </c>
      <c r="BE3" s="69" t="e">
        <f>VLOOKUP($A$3,Razas!$A$2:$DU$40,COLUMN(BE3)-COLUMN($B$3)+2,FALSE)</f>
        <v>#N/A</v>
      </c>
      <c r="BF3" s="69" t="e">
        <f>VLOOKUP($A$3,Razas!$A$2:$DU$40,COLUMN(BF3)-COLUMN($B$3)+2,FALSE)</f>
        <v>#N/A</v>
      </c>
      <c r="BG3" s="69" t="e">
        <f>VLOOKUP($A$3,Razas!$A$2:$DU$40,COLUMN(BG3)-COLUMN($B$3)+2,FALSE)</f>
        <v>#N/A</v>
      </c>
      <c r="BH3" s="69" t="e">
        <f>VLOOKUP($A$3,Razas!$A$2:$DU$40,COLUMN(BH3)-COLUMN($B$3)+2,FALSE)</f>
        <v>#N/A</v>
      </c>
      <c r="BI3" s="69" t="e">
        <f>VLOOKUP($A$3,Razas!$A$2:$DU$40,COLUMN(BI3)-COLUMN($B$3)+2,FALSE)</f>
        <v>#N/A</v>
      </c>
      <c r="BJ3" s="69" t="e">
        <f>VLOOKUP($A$3,Razas!$A$2:$DU$40,COLUMN(BJ3)-COLUMN($B$3)+2,FALSE)</f>
        <v>#N/A</v>
      </c>
      <c r="BK3" s="69" t="e">
        <f>VLOOKUP($A$3,Razas!$A$2:$DU$40,COLUMN(BK3)-COLUMN($B$3)+2,FALSE)</f>
        <v>#N/A</v>
      </c>
      <c r="BL3" s="69" t="e">
        <f>VLOOKUP($A$3,Razas!$A$2:$DU$40,COLUMN(BL3)-COLUMN($B$3)+2,FALSE)</f>
        <v>#N/A</v>
      </c>
      <c r="BM3" s="69" t="e">
        <f>VLOOKUP($A$3,Razas!$A$2:$DU$40,COLUMN(BM3)-COLUMN($B$3)+2,FALSE)</f>
        <v>#N/A</v>
      </c>
      <c r="BN3" s="69" t="e">
        <f>VLOOKUP($A$3,Razas!$A$2:$DU$40,COLUMN(BN3)-COLUMN($B$3)+2,FALSE)</f>
        <v>#N/A</v>
      </c>
      <c r="BO3" s="69" t="e">
        <f>VLOOKUP($A$3,Razas!$A$2:$DU$40,COLUMN(BO3)-COLUMN($B$3)+2,FALSE)</f>
        <v>#N/A</v>
      </c>
      <c r="BP3" s="69" t="e">
        <f>VLOOKUP($A$3,Razas!$A$2:$DU$40,COLUMN(BP3)-COLUMN($B$3)+2,FALSE)</f>
        <v>#N/A</v>
      </c>
      <c r="BQ3" s="69" t="e">
        <f>VLOOKUP($A$3,Razas!$A$2:$DU$40,COLUMN(BQ3)-COLUMN($B$3)+2,FALSE)</f>
        <v>#N/A</v>
      </c>
      <c r="BR3" s="69" t="e">
        <f>VLOOKUP($A$3,Razas!$A$2:$DU$40,COLUMN(BR3)-COLUMN($B$3)+2,FALSE)</f>
        <v>#N/A</v>
      </c>
      <c r="BS3" s="69" t="e">
        <f>VLOOKUP($A$3,Razas!$A$2:$DU$40,COLUMN(BS3)-COLUMN($B$3)+2,FALSE)</f>
        <v>#N/A</v>
      </c>
      <c r="BT3" s="69" t="e">
        <f>VLOOKUP($A$3,Razas!$A$2:$DU$40,COLUMN(BT3)-COLUMN($B$3)+2,FALSE)</f>
        <v>#N/A</v>
      </c>
      <c r="BU3" s="70" t="e">
        <f>VLOOKUP($A$3,Razas!$A$2:$DU$40,COLUMN(BU3)-COLUMN($B$3)+2,FALSE)</f>
        <v>#N/A</v>
      </c>
      <c r="BV3" s="70" t="e">
        <f>VLOOKUP($A$3,Razas!$A$2:$DU$40,COLUMN(BV3)-COLUMN($B$3)+2,FALSE)</f>
        <v>#N/A</v>
      </c>
      <c r="BW3" s="70" t="e">
        <f>VLOOKUP($A$3,Razas!$A$2:$DU$40,COLUMN(BW3)-COLUMN($B$3)+2,FALSE)</f>
        <v>#N/A</v>
      </c>
      <c r="BX3" s="70" t="e">
        <f>VLOOKUP($A$3,Razas!$A$2:$DU$40,COLUMN(BX3)-COLUMN($B$3)+2,FALSE)</f>
        <v>#N/A</v>
      </c>
      <c r="BY3" s="70" t="e">
        <f>VLOOKUP($A$3,Razas!$A$2:$DU$40,COLUMN(BY3)-COLUMN($B$3)+2,FALSE)</f>
        <v>#N/A</v>
      </c>
      <c r="BZ3" s="70" t="e">
        <f>VLOOKUP($A$3,Razas!$A$2:$DU$40,COLUMN(BZ3)-COLUMN($B$3)+2,FALSE)</f>
        <v>#N/A</v>
      </c>
      <c r="CA3" s="70" t="e">
        <f>VLOOKUP($A$3,Razas!$A$2:$DU$40,COLUMN(CA3)-COLUMN($B$3)+2,FALSE)</f>
        <v>#N/A</v>
      </c>
      <c r="CB3" s="70" t="e">
        <f>VLOOKUP($A$3,Razas!$A$2:$DU$40,COLUMN(CB3)-COLUMN($B$3)+2,FALSE)</f>
        <v>#N/A</v>
      </c>
      <c r="CC3" s="70" t="e">
        <f>VLOOKUP($A$3,Razas!$A$2:$DU$40,COLUMN(CC3)-COLUMN($B$3)+2,FALSE)</f>
        <v>#N/A</v>
      </c>
      <c r="CD3" s="70" t="e">
        <f>VLOOKUP($A$3,Razas!$A$2:$DU$40,COLUMN(CD3)-COLUMN($B$3)+2,FALSE)</f>
        <v>#N/A</v>
      </c>
      <c r="CE3" s="70" t="e">
        <f>VLOOKUP($A$3,Razas!$A$2:$DU$40,COLUMN(CE3)-COLUMN($B$3)+2,FALSE)</f>
        <v>#N/A</v>
      </c>
      <c r="CF3" s="70" t="e">
        <f>VLOOKUP($A$3,Razas!$A$2:$DU$40,COLUMN(CF3)-COLUMN($B$3)+2,FALSE)</f>
        <v>#N/A</v>
      </c>
      <c r="CG3" s="70" t="e">
        <f>VLOOKUP($A$3,Razas!$A$2:$DU$40,COLUMN(CG3)-COLUMN($B$3)+2,FALSE)</f>
        <v>#N/A</v>
      </c>
      <c r="CH3" s="70" t="e">
        <f>VLOOKUP($A$3,Razas!$A$2:$DU$40,COLUMN(CH3)-COLUMN($B$3)+2,FALSE)</f>
        <v>#N/A</v>
      </c>
      <c r="CI3" s="70" t="e">
        <f>VLOOKUP($A$3,Razas!$A$2:$DU$40,COLUMN(CI3)-COLUMN($B$3)+2,FALSE)</f>
        <v>#N/A</v>
      </c>
      <c r="CJ3" s="70" t="e">
        <f>VLOOKUP($A$3,Razas!$A$2:$DU$40,COLUMN(CJ3)-COLUMN($B$3)+2,FALSE)</f>
        <v>#N/A</v>
      </c>
      <c r="CK3" s="70" t="e">
        <f>VLOOKUP($A$3,Razas!$A$2:$DU$40,COLUMN(CK3)-COLUMN($B$3)+2,FALSE)</f>
        <v>#N/A</v>
      </c>
      <c r="CL3" s="70" t="e">
        <f>VLOOKUP($A$3,Razas!$A$2:$DU$40,COLUMN(CL3)-COLUMN($B$3)+2,FALSE)</f>
        <v>#N/A</v>
      </c>
      <c r="CM3" s="71" t="e">
        <f>VLOOKUP($A$3,Razas!$A$2:$DU$40,COLUMN(CM3)-COLUMN($B$3)+2,FALSE)</f>
        <v>#N/A</v>
      </c>
      <c r="CN3" s="71" t="e">
        <f>VLOOKUP($A$3,Razas!$A$2:$DU$40,COLUMN(CN3)-COLUMN($B$3)+2,FALSE)</f>
        <v>#N/A</v>
      </c>
      <c r="CO3" s="71" t="e">
        <f>VLOOKUP($A$3,Razas!$A$2:$DU$40,COLUMN(CO3)-COLUMN($B$3)+2,FALSE)</f>
        <v>#N/A</v>
      </c>
      <c r="CP3" s="71" t="e">
        <f>VLOOKUP($A$3,Razas!$A$2:$DU$40,COLUMN(CP3)-COLUMN($B$3)+2,FALSE)</f>
        <v>#N/A</v>
      </c>
      <c r="CQ3" s="71" t="e">
        <f>VLOOKUP($A$3,Razas!$A$2:$DU$40,COLUMN(CQ3)-COLUMN($B$3)+2,FALSE)</f>
        <v>#N/A</v>
      </c>
      <c r="CR3" s="71" t="e">
        <f>VLOOKUP($A$3,Razas!$A$2:$DU$40,COLUMN(CR3)-COLUMN($B$3)+2,FALSE)</f>
        <v>#N/A</v>
      </c>
      <c r="CS3" s="71" t="e">
        <f>VLOOKUP($A$3,Razas!$A$2:$DU$40,COLUMN(CS3)-COLUMN($B$3)+2,FALSE)</f>
        <v>#N/A</v>
      </c>
      <c r="CT3" s="71" t="e">
        <f>VLOOKUP($A$3,Razas!$A$2:$DU$40,COLUMN(CT3)-COLUMN($B$3)+2,FALSE)</f>
        <v>#N/A</v>
      </c>
      <c r="CU3" s="71" t="e">
        <f>VLOOKUP($A$3,Razas!$A$2:$DU$40,COLUMN(CU3)-COLUMN($B$3)+2,FALSE)</f>
        <v>#N/A</v>
      </c>
      <c r="CV3" s="71" t="e">
        <f>VLOOKUP($A$3,Razas!$A$2:$DU$40,COLUMN(CV3)-COLUMN($B$3)+2,FALSE)</f>
        <v>#N/A</v>
      </c>
      <c r="CW3" s="71" t="e">
        <f>VLOOKUP($A$3,Razas!$A$2:$DU$40,COLUMN(CW3)-COLUMN($B$3)+2,FALSE)</f>
        <v>#N/A</v>
      </c>
      <c r="CX3" s="71" t="e">
        <f>VLOOKUP($A$3,Razas!$A$2:$DU$40,COLUMN(CX3)-COLUMN($B$3)+2,FALSE)</f>
        <v>#N/A</v>
      </c>
      <c r="CY3" s="71" t="e">
        <f>VLOOKUP($A$3,Razas!$A$2:$DU$40,COLUMN(CY3)-COLUMN($B$3)+2,FALSE)</f>
        <v>#N/A</v>
      </c>
      <c r="CZ3" s="71" t="e">
        <f>VLOOKUP($A$3,Razas!$A$2:$DU$40,COLUMN(CZ3)-COLUMN($B$3)+2,FALSE)</f>
        <v>#N/A</v>
      </c>
      <c r="DA3" s="71" t="e">
        <f>VLOOKUP($A$3,Razas!$A$2:$DU$40,COLUMN(DA3)-COLUMN($B$3)+2,FALSE)</f>
        <v>#N/A</v>
      </c>
      <c r="DB3" s="71" t="e">
        <f>VLOOKUP($A$3,Razas!$A$2:$DU$40,COLUMN(DB3)-COLUMN($B$3)+2,FALSE)</f>
        <v>#N/A</v>
      </c>
      <c r="DC3" s="71" t="e">
        <f>VLOOKUP($A$3,Razas!$A$2:$DU$40,COLUMN(DC3)-COLUMN($B$3)+2,FALSE)</f>
        <v>#N/A</v>
      </c>
      <c r="DD3" s="71" t="e">
        <f>VLOOKUP($A$3,Razas!$A$2:$DU$40,COLUMN(DD3)-COLUMN($B$3)+2,FALSE)</f>
        <v>#N/A</v>
      </c>
      <c r="DE3" s="71" t="e">
        <f>VLOOKUP($A$3,Razas!$A$2:$DU$40,COLUMN(DE3)-COLUMN($B$3)+2,FALSE)</f>
        <v>#N/A</v>
      </c>
      <c r="DF3" s="72" t="e">
        <f>VLOOKUP($A$3,Razas!$A$2:$DU$40,COLUMN(DF3)-COLUMN($B$3)+2,FALSE)</f>
        <v>#N/A</v>
      </c>
      <c r="DG3" s="72" t="e">
        <f>VLOOKUP($A$3,Razas!$A$2:$DU$40,COLUMN(DG3)-COLUMN($B$3)+2,FALSE)</f>
        <v>#N/A</v>
      </c>
      <c r="DH3" s="72" t="e">
        <f>VLOOKUP($A$3,Razas!$A$2:$DU$40,COLUMN(DH3)-COLUMN($B$3)+2,FALSE)</f>
        <v>#N/A</v>
      </c>
      <c r="DI3" s="72" t="e">
        <f>VLOOKUP($A$3,Razas!$A$2:$DU$40,COLUMN(DI3)-COLUMN($B$3)+2,FALSE)</f>
        <v>#N/A</v>
      </c>
      <c r="DJ3" s="72" t="e">
        <f>VLOOKUP($A$3,Razas!$A$2:$DU$40,COLUMN(DJ3)-COLUMN($B$3)+2,FALSE)</f>
        <v>#N/A</v>
      </c>
      <c r="DK3" s="72" t="e">
        <f>VLOOKUP($A$3,Razas!$A$2:$DU$40,COLUMN(DK3)-COLUMN($B$3)+2,FALSE)</f>
        <v>#N/A</v>
      </c>
      <c r="DL3" s="72" t="e">
        <f>VLOOKUP($A$3,Razas!$A$2:$DU$40,COLUMN(DL3)-COLUMN($B$3)+2,FALSE)</f>
        <v>#N/A</v>
      </c>
      <c r="DM3" s="73" t="e">
        <f>VLOOKUP($A$3,Razas!$A$2:$DU$40,COLUMN(DM3)-COLUMN($B$3)+2,FALSE)</f>
        <v>#N/A</v>
      </c>
      <c r="DN3" s="73" t="e">
        <f>VLOOKUP($A$3,Razas!$A$2:$DU$40,COLUMN(DN3)-COLUMN($B$3)+2,FALSE)</f>
        <v>#N/A</v>
      </c>
      <c r="DO3" s="73" t="e">
        <f>VLOOKUP($A$3,Razas!$A$2:$DU$40,COLUMN(DO3)-COLUMN($B$3)+2,FALSE)</f>
        <v>#N/A</v>
      </c>
      <c r="DP3" s="73" t="e">
        <f>VLOOKUP($A$3,Razas!$A$2:$DU$40,COLUMN(DP3)-COLUMN($B$3)+2,FALSE)</f>
        <v>#N/A</v>
      </c>
      <c r="DQ3" s="73" t="e">
        <f>VLOOKUP($A$3,Razas!$A$2:$DU$40,COLUMN(DQ3)-COLUMN($B$3)+2,FALSE)</f>
        <v>#N/A</v>
      </c>
      <c r="DR3" s="73" t="e">
        <f>VLOOKUP($A$3,Razas!$A$2:$DU$40,COLUMN(DR3)-COLUMN($B$3)+2,FALSE)</f>
        <v>#N/A</v>
      </c>
      <c r="DS3" s="73" t="e">
        <f>VLOOKUP($A$3,Razas!$A$2:$DU$40,COLUMN(DS3)-COLUMN($B$3)+2,FALSE)</f>
        <v>#N/A</v>
      </c>
      <c r="DT3" t="e">
        <f>VLOOKUP($A$3,Razas!$A$2:$DU$40,COLUMN(DT3)-COLUMN($B$3)+2,FALSE)</f>
        <v>#N/A</v>
      </c>
      <c r="DU3" t="e">
        <f>VLOOKUP($A$3,Razas!$A$2:$DU$40,COLUMN(DU3)-COLUMN($B$3)+2,FALSE)</f>
        <v>#N/A</v>
      </c>
    </row>
    <row r="4" spans="1:125" x14ac:dyDescent="0.25">
      <c r="A4">
        <f>'Ficha completa'!D2</f>
        <v>0</v>
      </c>
      <c r="B4" t="e">
        <f>VLOOKUP($A$4,Clases!$A$2:$DU$48,COLUMN(B4)-COLUMN($B$3)+2,FALSE)</f>
        <v>#N/A</v>
      </c>
      <c r="C4" s="62" t="e">
        <f>VLOOKUP($A$4,Clases!$A$2:$DU$48,COLUMN(C4)-COLUMN($B$3)+2,FALSE)</f>
        <v>#N/A</v>
      </c>
      <c r="D4" s="62" t="e">
        <f>VLOOKUP($A$4,Clases!$A$2:$DU$48,COLUMN(D4)-COLUMN($B$3)+2,FALSE)</f>
        <v>#N/A</v>
      </c>
      <c r="E4" s="62" t="e">
        <f>VLOOKUP($A$4,Clases!$A$2:$DU$48,COLUMN(E4)-COLUMN($B$3)+2,FALSE)</f>
        <v>#N/A</v>
      </c>
      <c r="F4" s="62" t="e">
        <f>VLOOKUP($A$4,Clases!$A$2:$DU$48,COLUMN(F4)-COLUMN($B$3)+2,FALSE)</f>
        <v>#N/A</v>
      </c>
      <c r="G4" s="62" t="e">
        <f>VLOOKUP($A$4,Clases!$A$2:$DU$48,COLUMN(G4)-COLUMN($B$3)+2,FALSE)</f>
        <v>#N/A</v>
      </c>
      <c r="H4" s="62" t="e">
        <f>VLOOKUP($A$4,Clases!$A$2:$DU$48,COLUMN(H4)-COLUMN($B$3)+2,FALSE)</f>
        <v>#N/A</v>
      </c>
      <c r="I4" s="62" t="e">
        <f>VLOOKUP($A$4,Clases!$A$2:$DU$48,COLUMN(I4)-COLUMN($B$3)+2,FALSE)</f>
        <v>#N/A</v>
      </c>
      <c r="J4" s="62" t="e">
        <f>VLOOKUP($A$4,Clases!$A$2:$DU$48,COLUMN(J4)-COLUMN($B$3)+2,FALSE)</f>
        <v>#N/A</v>
      </c>
      <c r="K4" s="63" t="e">
        <f>VLOOKUP($A$4,Clases!$A$2:$DU$48,COLUMN(K4)-COLUMN($B$3)+2,FALSE)</f>
        <v>#N/A</v>
      </c>
      <c r="L4" s="63" t="e">
        <f>VLOOKUP($A$4,Clases!$A$2:$DU$48,COLUMN(L4)-COLUMN($B$3)+2,FALSE)</f>
        <v>#N/A</v>
      </c>
      <c r="M4" s="63" t="e">
        <f>VLOOKUP($A$4,Clases!$A$2:$DU$48,COLUMN(M4)-COLUMN($B$3)+2,FALSE)</f>
        <v>#N/A</v>
      </c>
      <c r="N4" s="63" t="e">
        <f>VLOOKUP($A$4,Clases!$A$2:$DU$48,COLUMN(N4)-COLUMN($B$3)+2,FALSE)</f>
        <v>#N/A</v>
      </c>
      <c r="O4" s="63" t="e">
        <f>VLOOKUP($A$4,Clases!$A$2:$DU$48,COLUMN(O4)-COLUMN($B$3)+2,FALSE)</f>
        <v>#N/A</v>
      </c>
      <c r="P4" s="63" t="e">
        <f>VLOOKUP($A$4,Clases!$A$2:$DU$48,COLUMN(P4)-COLUMN($B$3)+2,FALSE)</f>
        <v>#N/A</v>
      </c>
      <c r="Q4" s="64" t="e">
        <f>VLOOKUP($A$4,Clases!$A$2:$DU$48,COLUMN(Q4)-COLUMN($B$3)+2,FALSE)</f>
        <v>#N/A</v>
      </c>
      <c r="R4" s="64" t="e">
        <f>VLOOKUP($A$4,Clases!$A$2:$DU$48,COLUMN(R4)-COLUMN($B$3)+2,FALSE)</f>
        <v>#N/A</v>
      </c>
      <c r="S4" s="64" t="e">
        <f>VLOOKUP($A$4,Clases!$A$2:$DU$48,COLUMN(S4)-COLUMN($B$3)+2,FALSE)</f>
        <v>#N/A</v>
      </c>
      <c r="T4" s="65" t="e">
        <f>VLOOKUP($A$4,Clases!$A$2:$DU$48,COLUMN(T4)-COLUMN($B$3)+2,FALSE)</f>
        <v>#N/A</v>
      </c>
      <c r="U4" s="65" t="e">
        <f>VLOOKUP($A$4,Clases!$A$2:$DU$48,COLUMN(U4)-COLUMN($B$3)+2,FALSE)</f>
        <v>#N/A</v>
      </c>
      <c r="V4" s="65" t="e">
        <f>VLOOKUP($A$4,Clases!$A$2:$DU$48,COLUMN(V4)-COLUMN($B$3)+2,FALSE)</f>
        <v>#N/A</v>
      </c>
      <c r="W4" s="66" t="e">
        <f>VLOOKUP($A$4,Clases!$A$2:$DU$48,COLUMN(W4)-COLUMN($B$3)+2,FALSE)</f>
        <v>#N/A</v>
      </c>
      <c r="X4" s="66" t="e">
        <f>VLOOKUP($A$4,Clases!$A$2:$DU$48,COLUMN(X4)-COLUMN($B$3)+2,FALSE)</f>
        <v>#N/A</v>
      </c>
      <c r="Y4" s="66" t="e">
        <f>VLOOKUP($A$4,Clases!$A$2:$DU$48,COLUMN(Y4)-COLUMN($B$3)+2,FALSE)</f>
        <v>#N/A</v>
      </c>
      <c r="Z4" s="66" t="e">
        <f>VLOOKUP($A$4,Clases!$A$2:$DU$48,COLUMN(Z4)-COLUMN($B$3)+2,FALSE)</f>
        <v>#N/A</v>
      </c>
      <c r="AA4" s="67" t="e">
        <f>VLOOKUP($A$4,Clases!$A$2:$DU$48,COLUMN(AA4)-COLUMN($B$3)+2,FALSE)</f>
        <v>#N/A</v>
      </c>
      <c r="AB4" s="67" t="e">
        <f>VLOOKUP($A$4,Clases!$A$2:$DU$48,COLUMN(AB4)-COLUMN($B$3)+2,FALSE)</f>
        <v>#N/A</v>
      </c>
      <c r="AC4" s="67" t="e">
        <f>VLOOKUP($A$4,Clases!$A$2:$DU$48,COLUMN(AC4)-COLUMN($B$3)+2,FALSE)</f>
        <v>#N/A</v>
      </c>
      <c r="AD4" s="67" t="e">
        <f>VLOOKUP($A$4,Clases!$A$2:$DU$48,COLUMN(AD4)-COLUMN($B$3)+2,FALSE)</f>
        <v>#N/A</v>
      </c>
      <c r="AE4" s="67" t="e">
        <f>VLOOKUP($A$4,Clases!$A$2:$DU$48,COLUMN(AE4)-COLUMN($B$3)+2,FALSE)</f>
        <v>#N/A</v>
      </c>
      <c r="AF4" s="68" t="e">
        <f>VLOOKUP($A$4,Clases!$A$2:$DU$48,COLUMN(AF4)-COLUMN($B$3)+2,FALSE)</f>
        <v>#N/A</v>
      </c>
      <c r="AG4" s="68" t="e">
        <f>VLOOKUP($A$4,Clases!$A$2:$DU$48,COLUMN(AG4)-COLUMN($B$3)+2,FALSE)</f>
        <v>#N/A</v>
      </c>
      <c r="AH4" s="68" t="e">
        <f>VLOOKUP($A$4,Clases!$A$2:$DU$48,COLUMN(AH4)-COLUMN($B$3)+2,FALSE)</f>
        <v>#N/A</v>
      </c>
      <c r="AI4" s="68" t="e">
        <f>VLOOKUP($A$4,Clases!$A$2:$DU$48,COLUMN(AI4)-COLUMN($B$3)+2,FALSE)</f>
        <v>#N/A</v>
      </c>
      <c r="AJ4" s="68" t="e">
        <f>VLOOKUP($A$4,Clases!$A$2:$DU$48,COLUMN(AJ4)-COLUMN($B$3)+2,FALSE)</f>
        <v>#N/A</v>
      </c>
      <c r="AK4" s="68" t="e">
        <f>VLOOKUP($A$4,Clases!$A$2:$DU$48,COLUMN(AK4)-COLUMN($B$3)+2,FALSE)</f>
        <v>#N/A</v>
      </c>
      <c r="AL4" s="68" t="e">
        <f>VLOOKUP($A$4,Clases!$A$2:$DU$48,COLUMN(AL4)-COLUMN($B$3)+2,FALSE)</f>
        <v>#N/A</v>
      </c>
      <c r="AM4" s="68" t="e">
        <f>VLOOKUP($A$4,Clases!$A$2:$DU$48,COLUMN(AM4)-COLUMN($B$3)+2,FALSE)</f>
        <v>#N/A</v>
      </c>
      <c r="AN4" s="68" t="e">
        <f>VLOOKUP($A$4,Clases!$A$2:$DU$48,COLUMN(AN4)-COLUMN($B$3)+2,FALSE)</f>
        <v>#N/A</v>
      </c>
      <c r="AO4" s="68" t="e">
        <f>VLOOKUP($A$4,Clases!$A$2:$DU$48,COLUMN(AO4)-COLUMN($B$3)+2,FALSE)</f>
        <v>#N/A</v>
      </c>
      <c r="AP4" s="68" t="e">
        <f>VLOOKUP($A$4,Clases!$A$2:$DU$48,COLUMN(AP4)-COLUMN($B$3)+2,FALSE)</f>
        <v>#N/A</v>
      </c>
      <c r="AQ4" s="68" t="e">
        <f>VLOOKUP($A$4,Clases!$A$2:$DU$48,COLUMN(AQ4)-COLUMN($B$3)+2,FALSE)</f>
        <v>#N/A</v>
      </c>
      <c r="AR4" s="68" t="e">
        <f>VLOOKUP($A$4,Clases!$A$2:$DU$48,COLUMN(AR4)-COLUMN($B$3)+2,FALSE)</f>
        <v>#N/A</v>
      </c>
      <c r="AS4" s="68" t="e">
        <f>VLOOKUP($A$4,Clases!$A$2:$DU$48,COLUMN(AS4)-COLUMN($B$3)+2,FALSE)</f>
        <v>#N/A</v>
      </c>
      <c r="AT4" s="68" t="e">
        <f>VLOOKUP($A$4,Clases!$A$2:$DU$48,COLUMN(AT4)-COLUMN($B$3)+2,FALSE)</f>
        <v>#N/A</v>
      </c>
      <c r="AU4" s="68" t="e">
        <f>VLOOKUP($A$4,Clases!$A$2:$DU$48,COLUMN(AU4)-COLUMN($B$3)+2,FALSE)</f>
        <v>#N/A</v>
      </c>
      <c r="AV4" s="68" t="e">
        <f>VLOOKUP($A$4,Clases!$A$2:$DU$48,COLUMN(AV4)-COLUMN($B$3)+2,FALSE)</f>
        <v>#N/A</v>
      </c>
      <c r="AW4" s="68" t="e">
        <f>VLOOKUP($A$4,Clases!$A$2:$DU$48,COLUMN(AW4)-COLUMN($B$3)+2,FALSE)</f>
        <v>#N/A</v>
      </c>
      <c r="AX4" s="69" t="e">
        <f>VLOOKUP($A$4,Clases!$A$2:$DU$48,COLUMN(AX4)-COLUMN($B$3)+2,FALSE)</f>
        <v>#N/A</v>
      </c>
      <c r="AY4" s="69" t="e">
        <f>VLOOKUP($A$4,Clases!$A$2:$DU$48,COLUMN(AY4)-COLUMN($B$3)+2,FALSE)</f>
        <v>#N/A</v>
      </c>
      <c r="AZ4" s="69" t="e">
        <f>VLOOKUP($A$4,Clases!$A$2:$DU$48,COLUMN(AZ4)-COLUMN($B$3)+2,FALSE)</f>
        <v>#N/A</v>
      </c>
      <c r="BA4" s="69" t="e">
        <f>VLOOKUP($A$4,Clases!$A$2:$DU$48,COLUMN(BA4)-COLUMN($B$3)+2,FALSE)</f>
        <v>#N/A</v>
      </c>
      <c r="BB4" s="69" t="e">
        <f>VLOOKUP($A$4,Clases!$A$2:$DU$48,COLUMN(BB4)-COLUMN($B$3)+2,FALSE)</f>
        <v>#N/A</v>
      </c>
      <c r="BC4" s="69" t="e">
        <f>VLOOKUP($A$4,Clases!$A$2:$DU$48,COLUMN(BC4)-COLUMN($B$3)+2,FALSE)</f>
        <v>#N/A</v>
      </c>
      <c r="BD4" s="69" t="e">
        <f>VLOOKUP($A$4,Clases!$A$2:$DU$48,COLUMN(BD4)-COLUMN($B$3)+2,FALSE)</f>
        <v>#N/A</v>
      </c>
      <c r="BE4" s="69" t="e">
        <f>VLOOKUP($A$4,Clases!$A$2:$DU$48,COLUMN(BE4)-COLUMN($B$3)+2,FALSE)</f>
        <v>#N/A</v>
      </c>
      <c r="BF4" s="69" t="e">
        <f>VLOOKUP($A$4,Clases!$A$2:$DU$48,COLUMN(BF4)-COLUMN($B$3)+2,FALSE)</f>
        <v>#N/A</v>
      </c>
      <c r="BG4" s="69" t="e">
        <f>VLOOKUP($A$4,Clases!$A$2:$DU$48,COLUMN(BG4)-COLUMN($B$3)+2,FALSE)</f>
        <v>#N/A</v>
      </c>
      <c r="BH4" s="69" t="e">
        <f>VLOOKUP($A$4,Clases!$A$2:$DU$48,COLUMN(BH4)-COLUMN($B$3)+2,FALSE)</f>
        <v>#N/A</v>
      </c>
      <c r="BI4" s="69" t="e">
        <f>VLOOKUP($A$4,Clases!$A$2:$DU$48,COLUMN(BI4)-COLUMN($B$3)+2,FALSE)</f>
        <v>#N/A</v>
      </c>
      <c r="BJ4" s="69" t="e">
        <f>VLOOKUP($A$4,Clases!$A$2:$DU$48,COLUMN(BJ4)-COLUMN($B$3)+2,FALSE)</f>
        <v>#N/A</v>
      </c>
      <c r="BK4" s="69" t="e">
        <f>VLOOKUP($A$4,Clases!$A$2:$DU$48,COLUMN(BK4)-COLUMN($B$3)+2,FALSE)</f>
        <v>#N/A</v>
      </c>
      <c r="BL4" s="69" t="e">
        <f>VLOOKUP($A$4,Clases!$A$2:$DU$48,COLUMN(BL4)-COLUMN($B$3)+2,FALSE)</f>
        <v>#N/A</v>
      </c>
      <c r="BM4" s="69" t="e">
        <f>VLOOKUP($A$4,Clases!$A$2:$DU$48,COLUMN(BM4)-COLUMN($B$3)+2,FALSE)</f>
        <v>#N/A</v>
      </c>
      <c r="BN4" s="69" t="e">
        <f>VLOOKUP($A$4,Clases!$A$2:$DU$48,COLUMN(BN4)-COLUMN($B$3)+2,FALSE)</f>
        <v>#N/A</v>
      </c>
      <c r="BO4" s="69" t="e">
        <f>VLOOKUP($A$4,Clases!$A$2:$DU$48,COLUMN(BO4)-COLUMN($B$3)+2,FALSE)</f>
        <v>#N/A</v>
      </c>
      <c r="BP4" s="69" t="e">
        <f>VLOOKUP($A$4,Clases!$A$2:$DU$48,COLUMN(BP4)-COLUMN($B$3)+2,FALSE)</f>
        <v>#N/A</v>
      </c>
      <c r="BQ4" s="69" t="e">
        <f>VLOOKUP($A$4,Clases!$A$2:$DU$48,COLUMN(BQ4)-COLUMN($B$3)+2,FALSE)</f>
        <v>#N/A</v>
      </c>
      <c r="BR4" s="69" t="e">
        <f>VLOOKUP($A$4,Clases!$A$2:$DU$48,COLUMN(BR4)-COLUMN($B$3)+2,FALSE)</f>
        <v>#N/A</v>
      </c>
      <c r="BS4" s="69" t="e">
        <f>VLOOKUP($A$4,Clases!$A$2:$DU$48,COLUMN(BS4)-COLUMN($B$3)+2,FALSE)</f>
        <v>#N/A</v>
      </c>
      <c r="BT4" s="69" t="e">
        <f>VLOOKUP($A$4,Clases!$A$2:$DU$48,COLUMN(BT4)-COLUMN($B$3)+2,FALSE)</f>
        <v>#N/A</v>
      </c>
      <c r="BU4" s="70" t="e">
        <f>VLOOKUP($A$4,Clases!$A$2:$DU$48,COLUMN(BU4)-COLUMN($B$3)+2,FALSE)</f>
        <v>#N/A</v>
      </c>
      <c r="BV4" s="70" t="e">
        <f>VLOOKUP($A$4,Clases!$A$2:$DU$48,COLUMN(BV4)-COLUMN($B$3)+2,FALSE)</f>
        <v>#N/A</v>
      </c>
      <c r="BW4" s="70" t="e">
        <f>VLOOKUP($A$4,Clases!$A$2:$DU$48,COLUMN(BW4)-COLUMN($B$3)+2,FALSE)</f>
        <v>#N/A</v>
      </c>
      <c r="BX4" s="70" t="e">
        <f>VLOOKUP($A$4,Clases!$A$2:$DU$48,COLUMN(BX4)-COLUMN($B$3)+2,FALSE)</f>
        <v>#N/A</v>
      </c>
      <c r="BY4" s="70" t="e">
        <f>VLOOKUP($A$4,Clases!$A$2:$DU$48,COLUMN(BY4)-COLUMN($B$3)+2,FALSE)</f>
        <v>#N/A</v>
      </c>
      <c r="BZ4" s="70" t="e">
        <f>VLOOKUP($A$4,Clases!$A$2:$DU$48,COLUMN(BZ4)-COLUMN($B$3)+2,FALSE)</f>
        <v>#N/A</v>
      </c>
      <c r="CA4" s="70" t="e">
        <f>VLOOKUP($A$4,Clases!$A$2:$DU$48,COLUMN(CA4)-COLUMN($B$3)+2,FALSE)</f>
        <v>#N/A</v>
      </c>
      <c r="CB4" s="70" t="e">
        <f>VLOOKUP($A$4,Clases!$A$2:$DU$48,COLUMN(CB4)-COLUMN($B$3)+2,FALSE)</f>
        <v>#N/A</v>
      </c>
      <c r="CC4" s="70" t="e">
        <f>VLOOKUP($A$4,Clases!$A$2:$DU$48,COLUMN(CC4)-COLUMN($B$3)+2,FALSE)</f>
        <v>#N/A</v>
      </c>
      <c r="CD4" s="70" t="e">
        <f>VLOOKUP($A$4,Clases!$A$2:$DU$48,COLUMN(CD4)-COLUMN($B$3)+2,FALSE)</f>
        <v>#N/A</v>
      </c>
      <c r="CE4" s="70" t="e">
        <f>VLOOKUP($A$4,Clases!$A$2:$DU$48,COLUMN(CE4)-COLUMN($B$3)+2,FALSE)</f>
        <v>#N/A</v>
      </c>
      <c r="CF4" s="70" t="e">
        <f>VLOOKUP($A$4,Clases!$A$2:$DU$48,COLUMN(CF4)-COLUMN($B$3)+2,FALSE)</f>
        <v>#N/A</v>
      </c>
      <c r="CG4" s="70" t="e">
        <f>VLOOKUP($A$4,Clases!$A$2:$DU$48,COLUMN(CG4)-COLUMN($B$3)+2,FALSE)</f>
        <v>#N/A</v>
      </c>
      <c r="CH4" s="70" t="e">
        <f>VLOOKUP($A$4,Clases!$A$2:$DU$48,COLUMN(CH4)-COLUMN($B$3)+2,FALSE)</f>
        <v>#N/A</v>
      </c>
      <c r="CI4" s="70" t="e">
        <f>VLOOKUP($A$4,Clases!$A$2:$DU$48,COLUMN(CI4)-COLUMN($B$3)+2,FALSE)</f>
        <v>#N/A</v>
      </c>
      <c r="CJ4" s="70" t="e">
        <f>VLOOKUP($A$4,Clases!$A$2:$DU$48,COLUMN(CJ4)-COLUMN($B$3)+2,FALSE)</f>
        <v>#N/A</v>
      </c>
      <c r="CK4" s="70" t="e">
        <f>VLOOKUP($A$4,Clases!$A$2:$DU$48,COLUMN(CK4)-COLUMN($B$3)+2,FALSE)</f>
        <v>#N/A</v>
      </c>
      <c r="CL4" s="70" t="e">
        <f>VLOOKUP($A$4,Clases!$A$2:$DU$48,COLUMN(CL4)-COLUMN($B$3)+2,FALSE)</f>
        <v>#N/A</v>
      </c>
      <c r="CM4" s="71" t="e">
        <f>VLOOKUP($A$4,Clases!$A$2:$DU$48,COLUMN(CM4)-COLUMN($B$3)+2,FALSE)</f>
        <v>#N/A</v>
      </c>
      <c r="CN4" s="71" t="e">
        <f>VLOOKUP($A$4,Clases!$A$2:$DU$48,COLUMN(CN4)-COLUMN($B$3)+2,FALSE)</f>
        <v>#N/A</v>
      </c>
      <c r="CO4" s="71" t="e">
        <f>VLOOKUP($A$4,Clases!$A$2:$DU$48,COLUMN(CO4)-COLUMN($B$3)+2,FALSE)</f>
        <v>#N/A</v>
      </c>
      <c r="CP4" s="71" t="e">
        <f>VLOOKUP($A$4,Clases!$A$2:$DU$48,COLUMN(CP4)-COLUMN($B$3)+2,FALSE)</f>
        <v>#N/A</v>
      </c>
      <c r="CQ4" s="71" t="e">
        <f>VLOOKUP($A$4,Clases!$A$2:$DU$48,COLUMN(CQ4)-COLUMN($B$3)+2,FALSE)</f>
        <v>#N/A</v>
      </c>
      <c r="CR4" s="71" t="e">
        <f>VLOOKUP($A$4,Clases!$A$2:$DU$48,COLUMN(CR4)-COLUMN($B$3)+2,FALSE)</f>
        <v>#N/A</v>
      </c>
      <c r="CS4" s="71" t="e">
        <f>VLOOKUP($A$4,Clases!$A$2:$DU$48,COLUMN(CS4)-COLUMN($B$3)+2,FALSE)</f>
        <v>#N/A</v>
      </c>
      <c r="CT4" s="71" t="e">
        <f>VLOOKUP($A$4,Clases!$A$2:$DU$48,COLUMN(CT4)-COLUMN($B$3)+2,FALSE)</f>
        <v>#N/A</v>
      </c>
      <c r="CU4" s="71" t="e">
        <f>VLOOKUP($A$4,Clases!$A$2:$DU$48,COLUMN(CU4)-COLUMN($B$3)+2,FALSE)</f>
        <v>#N/A</v>
      </c>
      <c r="CV4" s="71" t="e">
        <f>VLOOKUP($A$4,Clases!$A$2:$DU$48,COLUMN(CV4)-COLUMN($B$3)+2,FALSE)</f>
        <v>#N/A</v>
      </c>
      <c r="CW4" s="71" t="e">
        <f>VLOOKUP($A$4,Clases!$A$2:$DU$48,COLUMN(CW4)-COLUMN($B$3)+2,FALSE)</f>
        <v>#N/A</v>
      </c>
      <c r="CX4" s="71" t="e">
        <f>VLOOKUP($A$4,Clases!$A$2:$DU$48,COLUMN(CX4)-COLUMN($B$3)+2,FALSE)</f>
        <v>#N/A</v>
      </c>
      <c r="CY4" s="71" t="e">
        <f>VLOOKUP($A$4,Clases!$A$2:$DU$48,COLUMN(CY4)-COLUMN($B$3)+2,FALSE)</f>
        <v>#N/A</v>
      </c>
      <c r="CZ4" s="71" t="e">
        <f>VLOOKUP($A$4,Clases!$A$2:$DU$48,COLUMN(CZ4)-COLUMN($B$3)+2,FALSE)</f>
        <v>#N/A</v>
      </c>
      <c r="DA4" s="71" t="e">
        <f>VLOOKUP($A$4,Clases!$A$2:$DU$48,COLUMN(DA4)-COLUMN($B$3)+2,FALSE)</f>
        <v>#N/A</v>
      </c>
      <c r="DB4" s="71" t="e">
        <f>VLOOKUP($A$4,Clases!$A$2:$DU$48,COLUMN(DB4)-COLUMN($B$3)+2,FALSE)</f>
        <v>#N/A</v>
      </c>
      <c r="DC4" s="71" t="e">
        <f>VLOOKUP($A$4,Clases!$A$2:$DU$48,COLUMN(DC4)-COLUMN($B$3)+2,FALSE)</f>
        <v>#N/A</v>
      </c>
      <c r="DD4" s="71" t="e">
        <f>VLOOKUP($A$4,Clases!$A$2:$DU$48,COLUMN(DD4)-COLUMN($B$3)+2,FALSE)</f>
        <v>#N/A</v>
      </c>
      <c r="DE4" s="71" t="e">
        <f>VLOOKUP($A$4,Clases!$A$2:$DU$48,COLUMN(DE4)-COLUMN($B$3)+2,FALSE)</f>
        <v>#N/A</v>
      </c>
      <c r="DF4" s="72" t="e">
        <f>VLOOKUP($A$4,Clases!$A$2:$DU$48,COLUMN(DF4)-COLUMN($B$3)+2,FALSE)</f>
        <v>#N/A</v>
      </c>
      <c r="DG4" s="72" t="e">
        <f>VLOOKUP($A$4,Clases!$A$2:$DU$48,COLUMN(DG4)-COLUMN($B$3)+2,FALSE)</f>
        <v>#N/A</v>
      </c>
      <c r="DH4" s="72" t="e">
        <f>VLOOKUP($A$4,Clases!$A$2:$DU$48,COLUMN(DH4)-COLUMN($B$3)+2,FALSE)</f>
        <v>#N/A</v>
      </c>
      <c r="DI4" s="72" t="e">
        <f>VLOOKUP($A$4,Clases!$A$2:$DU$48,COLUMN(DI4)-COLUMN($B$3)+2,FALSE)</f>
        <v>#N/A</v>
      </c>
      <c r="DJ4" s="72" t="e">
        <f>VLOOKUP($A$4,Clases!$A$2:$DU$48,COLUMN(DJ4)-COLUMN($B$3)+2,FALSE)</f>
        <v>#N/A</v>
      </c>
      <c r="DK4" s="72" t="e">
        <f>VLOOKUP($A$4,Clases!$A$2:$DU$48,COLUMN(DK4)-COLUMN($B$3)+2,FALSE)</f>
        <v>#N/A</v>
      </c>
      <c r="DL4" s="72" t="e">
        <f>VLOOKUP($A$4,Clases!$A$2:$DU$48,COLUMN(DL4)-COLUMN($B$3)+2,FALSE)</f>
        <v>#N/A</v>
      </c>
      <c r="DM4" s="73" t="e">
        <f>VLOOKUP($A$4,Clases!$A$2:$DU$48,COLUMN(DM4)-COLUMN($B$3)+2,FALSE)</f>
        <v>#N/A</v>
      </c>
      <c r="DN4" s="73" t="e">
        <f>VLOOKUP($A$4,Clases!$A$2:$DU$48,COLUMN(DN4)-COLUMN($B$3)+2,FALSE)</f>
        <v>#N/A</v>
      </c>
      <c r="DO4" s="73" t="e">
        <f>VLOOKUP($A$4,Clases!$A$2:$DU$48,COLUMN(DO4)-COLUMN($B$3)+2,FALSE)</f>
        <v>#N/A</v>
      </c>
      <c r="DP4" s="73" t="e">
        <f>VLOOKUP($A$4,Clases!$A$2:$DU$48,COLUMN(DP4)-COLUMN($B$3)+2,FALSE)</f>
        <v>#N/A</v>
      </c>
      <c r="DQ4" s="73" t="e">
        <f>VLOOKUP($A$4,Clases!$A$2:$DU$48,COLUMN(DQ4)-COLUMN($B$3)+2,FALSE)</f>
        <v>#N/A</v>
      </c>
      <c r="DR4" s="73" t="e">
        <f>VLOOKUP($A$4,Clases!$A$2:$DU$48,COLUMN(DR4)-COLUMN($B$3)+2,FALSE)</f>
        <v>#N/A</v>
      </c>
      <c r="DS4" s="73" t="e">
        <f>VLOOKUP($A$4,Clases!$A$2:$DU$48,COLUMN(DS4)-COLUMN($B$3)+2,FALSE)</f>
        <v>#N/A</v>
      </c>
      <c r="DT4" t="e">
        <f>VLOOKUP($A$4,Clases!$A$2:$DU$48,COLUMN(DT4)-COLUMN($B$3)+2,FALSE)</f>
        <v>#N/A</v>
      </c>
      <c r="DU4" t="e">
        <f>VLOOKUP($A$4,Clases!$A$2:$DU$48,COLUMN(DU4)-COLUMN($B$3)+2,FALSE)</f>
        <v>#N/A</v>
      </c>
    </row>
    <row r="5" spans="1:125" x14ac:dyDescent="0.25">
      <c r="A5" t="s">
        <v>197</v>
      </c>
      <c r="C5" s="62">
        <v>1</v>
      </c>
      <c r="D5" s="62">
        <v>1</v>
      </c>
      <c r="E5" s="62">
        <v>1</v>
      </c>
      <c r="F5" s="62">
        <v>1</v>
      </c>
      <c r="G5" s="62">
        <v>1</v>
      </c>
      <c r="H5" s="62">
        <v>1</v>
      </c>
      <c r="I5" s="62">
        <v>1</v>
      </c>
      <c r="J5" s="62">
        <v>1</v>
      </c>
    </row>
  </sheetData>
  <sheetProtection algorithmName="SHA-512" hashValue="8D0uSWFa4uKKLEb2G6tLFHLGCZgX/vnatXgCbI72zGUUDGKU6IhBNl0957lkalsESvBzLybcFIZut9rQkDoWiw==" saltValue="+qSzXhSlL4dW3vJSMgLI5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U40"/>
  <sheetViews>
    <sheetView workbookViewId="0">
      <pane xSplit="2" ySplit="1" topLeftCell="C2" activePane="bottomRight" state="frozen"/>
      <selection activeCell="D2" sqref="D2:F2"/>
      <selection pane="topRight" activeCell="D2" sqref="D2:F2"/>
      <selection pane="bottomLeft" activeCell="D2" sqref="D2:F2"/>
      <selection pane="bottomRight" activeCell="D2" sqref="D2:F2"/>
    </sheetView>
  </sheetViews>
  <sheetFormatPr baseColWidth="10" defaultColWidth="11.5703125" defaultRowHeight="15" x14ac:dyDescent="0.25"/>
  <cols>
    <col min="1" max="1" width="21.42578125" bestFit="1" customWidth="1"/>
    <col min="2" max="2" width="3.85546875" customWidth="1"/>
    <col min="3" max="10" width="3.7109375" style="3" bestFit="1" customWidth="1"/>
    <col min="11" max="11" width="3.7109375" style="4" bestFit="1" customWidth="1"/>
    <col min="12" max="12" width="5" style="4" customWidth="1"/>
    <col min="13" max="16" width="3.7109375" style="4" bestFit="1" customWidth="1"/>
    <col min="17" max="19" width="3.7109375" style="5" bestFit="1" customWidth="1"/>
    <col min="20" max="22" width="3.7109375" style="6" bestFit="1" customWidth="1"/>
    <col min="23" max="25" width="3.7109375" style="7" bestFit="1" customWidth="1"/>
    <col min="26" max="26" width="3.7109375" style="22" bestFit="1" customWidth="1"/>
    <col min="27" max="27" width="5.5703125" style="23" bestFit="1" customWidth="1"/>
    <col min="28" max="30" width="3.7109375" style="23" bestFit="1" customWidth="1"/>
    <col min="31" max="31" width="3.7109375" style="28" bestFit="1" customWidth="1"/>
    <col min="32" max="48" width="3.7109375" style="29" bestFit="1" customWidth="1"/>
    <col min="49" max="49" width="3.7109375" style="30" bestFit="1" customWidth="1"/>
    <col min="50" max="65" width="3.7109375" style="31" bestFit="1" customWidth="1"/>
    <col min="66" max="71" width="3.7109375" style="32" customWidth="1"/>
    <col min="72" max="72" width="3.7109375" style="32" bestFit="1" customWidth="1"/>
    <col min="73" max="89" width="3.7109375" style="33" bestFit="1" customWidth="1"/>
    <col min="90" max="90" width="3.7109375" style="34" customWidth="1"/>
    <col min="91" max="108" width="3.7109375" style="35" bestFit="1" customWidth="1"/>
    <col min="109" max="109" width="3.7109375" style="36" bestFit="1" customWidth="1"/>
    <col min="110" max="115" width="3.7109375" style="37" bestFit="1" customWidth="1"/>
    <col min="116" max="116" width="3.7109375" style="38" bestFit="1" customWidth="1"/>
    <col min="117" max="123" width="3.7109375" style="39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2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20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6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1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3" t="s">
        <v>149</v>
      </c>
      <c r="BO1" s="43" t="s">
        <v>75</v>
      </c>
      <c r="BP1" s="43" t="s">
        <v>94</v>
      </c>
      <c r="BQ1" s="43" t="s">
        <v>95</v>
      </c>
      <c r="BR1" s="43" t="s">
        <v>96</v>
      </c>
      <c r="BS1" s="43" t="s">
        <v>97</v>
      </c>
      <c r="BT1" s="43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5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7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9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s="74" t="s">
        <v>159</v>
      </c>
      <c r="B2" s="19">
        <f>SUM(C2:DU2)</f>
        <v>7</v>
      </c>
      <c r="C2" s="14"/>
      <c r="D2" s="14"/>
      <c r="E2" s="14"/>
      <c r="F2" s="14"/>
      <c r="G2" s="14"/>
      <c r="H2" s="14">
        <v>1</v>
      </c>
      <c r="I2" s="14"/>
      <c r="J2" s="14"/>
      <c r="K2" s="15"/>
      <c r="L2" s="15"/>
      <c r="M2" s="15"/>
      <c r="N2" s="15"/>
      <c r="O2" s="15"/>
      <c r="P2" s="15"/>
      <c r="Q2" s="16"/>
      <c r="R2" s="16">
        <v>1</v>
      </c>
      <c r="S2" s="16"/>
      <c r="T2" s="17"/>
      <c r="U2" s="17"/>
      <c r="V2" s="17"/>
      <c r="W2" s="18"/>
      <c r="X2" s="18"/>
      <c r="Y2" s="18"/>
      <c r="Z2" s="21"/>
      <c r="AA2" s="25"/>
      <c r="AB2" s="25">
        <v>1</v>
      </c>
      <c r="AC2" s="25"/>
      <c r="AD2" s="25"/>
      <c r="AE2" s="27"/>
      <c r="AF2" s="51">
        <v>1</v>
      </c>
      <c r="AG2" s="51">
        <v>1</v>
      </c>
      <c r="AH2" s="51">
        <v>1</v>
      </c>
      <c r="AI2" s="51">
        <v>1</v>
      </c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2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4"/>
      <c r="BO2" s="54"/>
      <c r="BP2" s="54"/>
      <c r="BQ2" s="54"/>
      <c r="BR2" s="54"/>
      <c r="BS2" s="54"/>
      <c r="BT2" s="54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6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8"/>
      <c r="DF2" s="59"/>
      <c r="DG2" s="59"/>
      <c r="DH2" s="59"/>
      <c r="DI2" s="59"/>
      <c r="DJ2" s="59"/>
      <c r="DK2" s="59"/>
      <c r="DL2" s="60"/>
      <c r="DM2" s="61"/>
      <c r="DN2" s="61"/>
      <c r="DO2" s="61"/>
      <c r="DP2" s="61"/>
      <c r="DQ2" s="61"/>
      <c r="DR2" s="61"/>
      <c r="DS2" s="61"/>
    </row>
    <row r="3" spans="1:125" x14ac:dyDescent="0.25">
      <c r="A3" s="74" t="s">
        <v>160</v>
      </c>
      <c r="B3" s="19">
        <f>SUM(C3:DU3)</f>
        <v>9</v>
      </c>
      <c r="C3" s="14">
        <v>1</v>
      </c>
      <c r="D3" s="14"/>
      <c r="E3" s="14"/>
      <c r="F3" s="14"/>
      <c r="G3" s="14"/>
      <c r="H3" s="14">
        <v>2</v>
      </c>
      <c r="I3" s="14"/>
      <c r="J3" s="14"/>
      <c r="K3" s="15"/>
      <c r="L3" s="15"/>
      <c r="M3" s="15"/>
      <c r="N3" s="15"/>
      <c r="O3" s="15"/>
      <c r="P3" s="15"/>
      <c r="Q3" s="16"/>
      <c r="R3" s="16">
        <v>1</v>
      </c>
      <c r="S3" s="16"/>
      <c r="T3" s="17"/>
      <c r="U3" s="17"/>
      <c r="V3" s="17">
        <v>1</v>
      </c>
      <c r="W3" s="18"/>
      <c r="X3" s="18"/>
      <c r="Y3" s="18"/>
      <c r="Z3" s="21"/>
      <c r="AA3" s="25"/>
      <c r="AB3" s="25"/>
      <c r="AC3" s="25"/>
      <c r="AD3" s="25"/>
      <c r="AE3" s="27"/>
      <c r="AF3" s="29">
        <v>1</v>
      </c>
      <c r="AG3" s="29">
        <v>1</v>
      </c>
      <c r="AH3" s="29">
        <v>1</v>
      </c>
      <c r="AI3" s="29">
        <v>1</v>
      </c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2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4"/>
      <c r="BO3" s="54"/>
      <c r="BP3" s="54"/>
      <c r="BQ3" s="54"/>
      <c r="BR3" s="54"/>
      <c r="BS3" s="54"/>
      <c r="BT3" s="54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6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8"/>
      <c r="DF3" s="59"/>
      <c r="DG3" s="59"/>
      <c r="DH3" s="59"/>
      <c r="DI3" s="59"/>
      <c r="DJ3" s="59"/>
      <c r="DK3" s="59"/>
      <c r="DL3" s="60"/>
      <c r="DM3" s="61"/>
      <c r="DN3" s="61"/>
      <c r="DO3" s="61"/>
      <c r="DP3" s="61"/>
      <c r="DQ3" s="61"/>
      <c r="DR3" s="61"/>
      <c r="DS3" s="61"/>
    </row>
    <row r="4" spans="1:125" x14ac:dyDescent="0.25">
      <c r="A4" s="74" t="s">
        <v>161</v>
      </c>
      <c r="B4" s="19">
        <f t="shared" ref="B4:B8" si="0">SUM(C4:DU4)</f>
        <v>9</v>
      </c>
      <c r="C4" s="14"/>
      <c r="D4" s="14"/>
      <c r="E4" s="14"/>
      <c r="F4" s="14"/>
      <c r="G4" s="14"/>
      <c r="H4" s="14">
        <v>2</v>
      </c>
      <c r="I4" s="14"/>
      <c r="J4" s="14"/>
      <c r="K4" s="15"/>
      <c r="L4" s="15"/>
      <c r="M4" s="15"/>
      <c r="N4" s="15"/>
      <c r="O4" s="15"/>
      <c r="P4" s="15"/>
      <c r="Q4" s="16"/>
      <c r="R4" s="16">
        <v>1</v>
      </c>
      <c r="S4" s="16"/>
      <c r="T4" s="17"/>
      <c r="U4" s="17"/>
      <c r="V4" s="17"/>
      <c r="W4" s="18"/>
      <c r="X4" s="18"/>
      <c r="Y4" s="18"/>
      <c r="Z4" s="21"/>
      <c r="AA4" s="25"/>
      <c r="AB4" s="25">
        <v>1</v>
      </c>
      <c r="AC4" s="25"/>
      <c r="AD4" s="25"/>
      <c r="AE4" s="27"/>
      <c r="AF4" s="51">
        <v>1</v>
      </c>
      <c r="AG4" s="51">
        <v>1</v>
      </c>
      <c r="AH4" s="51">
        <v>1</v>
      </c>
      <c r="AI4" s="51">
        <v>1</v>
      </c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2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54"/>
      <c r="BP4" s="54"/>
      <c r="BQ4" s="54"/>
      <c r="BR4" s="54"/>
      <c r="BS4" s="54"/>
      <c r="BT4" s="54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6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>
        <v>1</v>
      </c>
      <c r="DD4" s="57"/>
      <c r="DE4" s="58"/>
      <c r="DF4" s="59"/>
      <c r="DG4" s="59"/>
      <c r="DH4" s="59"/>
      <c r="DI4" s="59"/>
      <c r="DJ4" s="59"/>
      <c r="DK4" s="59"/>
      <c r="DL4" s="60"/>
      <c r="DM4" s="61"/>
      <c r="DN4" s="61"/>
      <c r="DO4" s="61"/>
      <c r="DP4" s="61"/>
      <c r="DQ4" s="61"/>
      <c r="DR4" s="61"/>
      <c r="DS4" s="61"/>
    </row>
    <row r="5" spans="1:125" x14ac:dyDescent="0.25">
      <c r="A5" s="74" t="s">
        <v>162</v>
      </c>
      <c r="B5" s="19">
        <f t="shared" si="0"/>
        <v>8</v>
      </c>
      <c r="C5" s="14"/>
      <c r="D5" s="14"/>
      <c r="E5" s="14">
        <v>1</v>
      </c>
      <c r="F5" s="14"/>
      <c r="G5" s="14"/>
      <c r="H5" s="14">
        <v>1</v>
      </c>
      <c r="I5" s="14"/>
      <c r="J5" s="14"/>
      <c r="K5" s="15"/>
      <c r="L5" s="15"/>
      <c r="M5" s="15"/>
      <c r="N5" s="15"/>
      <c r="O5" s="15"/>
      <c r="P5" s="15"/>
      <c r="Q5" s="16"/>
      <c r="R5" s="16">
        <v>1</v>
      </c>
      <c r="S5" s="16"/>
      <c r="T5" s="17"/>
      <c r="U5" s="17"/>
      <c r="V5" s="17"/>
      <c r="W5" s="18"/>
      <c r="X5" s="18"/>
      <c r="Y5" s="18"/>
      <c r="Z5" s="21"/>
      <c r="AA5" s="25">
        <v>1</v>
      </c>
      <c r="AB5" s="25"/>
      <c r="AC5" s="25"/>
      <c r="AD5" s="25"/>
      <c r="AE5" s="27">
        <v>1</v>
      </c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>
        <v>1</v>
      </c>
      <c r="AQ5" s="51">
        <v>1</v>
      </c>
      <c r="AR5" s="51"/>
      <c r="AS5" s="51"/>
      <c r="AT5" s="51"/>
      <c r="AU5" s="51"/>
      <c r="AV5" s="51"/>
      <c r="AW5" s="52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54"/>
      <c r="BP5" s="54"/>
      <c r="BQ5" s="54"/>
      <c r="BR5" s="54"/>
      <c r="BS5" s="54"/>
      <c r="BT5" s="54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6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8"/>
      <c r="DF5" s="59"/>
      <c r="DG5" s="59"/>
      <c r="DH5" s="59"/>
      <c r="DI5" s="59"/>
      <c r="DJ5" s="59"/>
      <c r="DK5" s="59">
        <v>1</v>
      </c>
      <c r="DL5" s="60"/>
      <c r="DM5" s="61"/>
      <c r="DN5" s="61"/>
      <c r="DO5" s="61"/>
      <c r="DP5" s="61"/>
      <c r="DQ5" s="61"/>
      <c r="DR5" s="61"/>
      <c r="DS5" s="61"/>
    </row>
    <row r="6" spans="1:125" x14ac:dyDescent="0.25">
      <c r="A6" s="74" t="s">
        <v>163</v>
      </c>
      <c r="B6" s="19">
        <f t="shared" si="0"/>
        <v>7</v>
      </c>
      <c r="C6" s="14"/>
      <c r="D6" s="14"/>
      <c r="E6" s="14"/>
      <c r="F6" s="14"/>
      <c r="G6" s="14"/>
      <c r="H6" s="14">
        <v>2</v>
      </c>
      <c r="I6" s="14"/>
      <c r="J6" s="14"/>
      <c r="K6" s="15"/>
      <c r="L6" s="15"/>
      <c r="M6" s="15"/>
      <c r="N6" s="15"/>
      <c r="O6" s="15"/>
      <c r="P6" s="15"/>
      <c r="Q6" s="16"/>
      <c r="R6" s="16">
        <v>1</v>
      </c>
      <c r="S6" s="16"/>
      <c r="T6" s="17"/>
      <c r="U6" s="17"/>
      <c r="V6" s="17"/>
      <c r="W6" s="18"/>
      <c r="X6" s="18"/>
      <c r="Y6" s="18"/>
      <c r="Z6" s="21"/>
      <c r="AA6" s="25"/>
      <c r="AB6" s="25"/>
      <c r="AC6" s="25"/>
      <c r="AD6" s="25">
        <v>1</v>
      </c>
      <c r="AE6" s="27"/>
      <c r="AF6" s="51">
        <v>1</v>
      </c>
      <c r="AG6" s="51">
        <v>1</v>
      </c>
      <c r="AH6" s="51"/>
      <c r="AI6" s="51"/>
      <c r="AJ6" s="51"/>
      <c r="AK6" s="51"/>
      <c r="AL6" s="51"/>
      <c r="AM6" s="51">
        <v>1</v>
      </c>
      <c r="AN6" s="51"/>
      <c r="AO6" s="51"/>
      <c r="AP6" s="51"/>
      <c r="AQ6" s="51"/>
      <c r="AR6" s="51"/>
      <c r="AS6" s="51"/>
      <c r="AT6" s="51"/>
      <c r="AU6" s="51"/>
      <c r="AV6" s="51"/>
      <c r="AW6" s="52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54"/>
      <c r="BP6" s="54"/>
      <c r="BQ6" s="54"/>
      <c r="BR6" s="54"/>
      <c r="BS6" s="54"/>
      <c r="BT6" s="54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6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8"/>
      <c r="DF6" s="59"/>
      <c r="DG6" s="59"/>
      <c r="DH6" s="59"/>
      <c r="DI6" s="59"/>
      <c r="DJ6" s="59"/>
      <c r="DK6" s="59"/>
      <c r="DL6" s="60"/>
      <c r="DM6" s="61"/>
      <c r="DN6" s="61"/>
      <c r="DO6" s="61"/>
      <c r="DP6" s="61"/>
      <c r="DQ6" s="61"/>
      <c r="DR6" s="61"/>
      <c r="DS6" s="61"/>
    </row>
    <row r="7" spans="1:125" x14ac:dyDescent="0.25">
      <c r="A7" s="74" t="s">
        <v>164</v>
      </c>
      <c r="B7" s="19">
        <f t="shared" si="0"/>
        <v>8</v>
      </c>
      <c r="C7" s="14">
        <v>1</v>
      </c>
      <c r="D7" s="14"/>
      <c r="E7" s="14"/>
      <c r="F7" s="14"/>
      <c r="G7" s="14"/>
      <c r="H7" s="14">
        <v>1</v>
      </c>
      <c r="I7" s="14"/>
      <c r="J7" s="14"/>
      <c r="K7" s="15"/>
      <c r="L7" s="15"/>
      <c r="M7" s="15"/>
      <c r="N7" s="15"/>
      <c r="O7" s="15"/>
      <c r="P7" s="15"/>
      <c r="Q7" s="16"/>
      <c r="R7" s="16">
        <v>1</v>
      </c>
      <c r="S7" s="16"/>
      <c r="T7" s="17"/>
      <c r="U7" s="17"/>
      <c r="V7" s="17"/>
      <c r="W7" s="18"/>
      <c r="X7" s="18"/>
      <c r="Y7" s="18"/>
      <c r="Z7" s="21"/>
      <c r="AA7" s="25"/>
      <c r="AB7" s="25"/>
      <c r="AC7" s="25"/>
      <c r="AD7" s="25"/>
      <c r="AE7" s="27"/>
      <c r="AF7" s="51">
        <v>1</v>
      </c>
      <c r="AG7" s="51">
        <v>1</v>
      </c>
      <c r="AH7" s="51"/>
      <c r="AI7" s="51"/>
      <c r="AJ7" s="51"/>
      <c r="AK7" s="51"/>
      <c r="AL7" s="51"/>
      <c r="AM7" s="51">
        <v>1</v>
      </c>
      <c r="AN7" s="51"/>
      <c r="AO7" s="51"/>
      <c r="AP7" s="51"/>
      <c r="AQ7" s="51"/>
      <c r="AR7" s="51"/>
      <c r="AS7" s="51"/>
      <c r="AT7" s="51"/>
      <c r="AU7" s="51"/>
      <c r="AV7" s="51"/>
      <c r="AW7" s="52">
        <v>1</v>
      </c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54"/>
      <c r="BP7" s="54"/>
      <c r="BQ7" s="54"/>
      <c r="BR7" s="54"/>
      <c r="BS7" s="54"/>
      <c r="BT7" s="54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6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>
        <v>1</v>
      </c>
      <c r="CY7" s="57"/>
      <c r="CZ7" s="57"/>
      <c r="DA7" s="57"/>
      <c r="DB7" s="57"/>
      <c r="DC7" s="57"/>
      <c r="DD7" s="57"/>
      <c r="DE7" s="58"/>
      <c r="DF7" s="59"/>
      <c r="DG7" s="59"/>
      <c r="DH7" s="59"/>
      <c r="DI7" s="59"/>
      <c r="DJ7" s="59"/>
      <c r="DK7" s="59"/>
      <c r="DL7" s="60"/>
      <c r="DM7" s="61"/>
      <c r="DN7" s="61"/>
      <c r="DO7" s="61"/>
      <c r="DP7" s="61"/>
      <c r="DQ7" s="61"/>
      <c r="DR7" s="61"/>
      <c r="DS7" s="61"/>
    </row>
    <row r="8" spans="1:125" x14ac:dyDescent="0.25">
      <c r="A8" s="74" t="s">
        <v>165</v>
      </c>
      <c r="B8" s="19">
        <f t="shared" si="0"/>
        <v>9</v>
      </c>
      <c r="C8" s="14"/>
      <c r="D8" s="14">
        <v>1</v>
      </c>
      <c r="E8" s="14"/>
      <c r="F8" s="14">
        <v>1</v>
      </c>
      <c r="G8" s="14"/>
      <c r="H8" s="14">
        <v>1</v>
      </c>
      <c r="I8" s="14"/>
      <c r="J8" s="14"/>
      <c r="K8" s="15"/>
      <c r="L8" s="15"/>
      <c r="M8" s="15"/>
      <c r="N8" s="15">
        <v>1</v>
      </c>
      <c r="O8" s="15"/>
      <c r="P8" s="15"/>
      <c r="Q8" s="16"/>
      <c r="R8" s="16">
        <v>1</v>
      </c>
      <c r="S8" s="16"/>
      <c r="T8" s="17"/>
      <c r="U8" s="17"/>
      <c r="V8" s="17"/>
      <c r="W8" s="18"/>
      <c r="X8" s="18"/>
      <c r="Y8" s="18"/>
      <c r="Z8" s="21"/>
      <c r="AA8" s="25"/>
      <c r="AB8" s="25"/>
      <c r="AC8" s="25"/>
      <c r="AD8" s="25"/>
      <c r="AE8" s="27"/>
      <c r="AF8" s="51">
        <v>1</v>
      </c>
      <c r="AG8" s="51">
        <v>1</v>
      </c>
      <c r="AH8" s="51">
        <v>1</v>
      </c>
      <c r="AI8" s="51">
        <v>1</v>
      </c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2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54"/>
      <c r="BP8" s="54"/>
      <c r="BQ8" s="54"/>
      <c r="BR8" s="54"/>
      <c r="BS8" s="54"/>
      <c r="BT8" s="54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6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8"/>
      <c r="DF8" s="59"/>
      <c r="DG8" s="59"/>
      <c r="DH8" s="59"/>
      <c r="DI8" s="59"/>
      <c r="DJ8" s="59"/>
      <c r="DK8" s="59"/>
      <c r="DL8" s="60"/>
      <c r="DM8" s="61"/>
      <c r="DN8" s="61"/>
      <c r="DO8" s="61"/>
      <c r="DP8" s="61"/>
      <c r="DQ8" s="61"/>
      <c r="DR8" s="61"/>
      <c r="DS8" s="61"/>
    </row>
    <row r="9" spans="1:125" x14ac:dyDescent="0.25">
      <c r="A9" s="75" t="s">
        <v>166</v>
      </c>
      <c r="B9" s="19">
        <f>SUM(C9:DU9)</f>
        <v>8</v>
      </c>
      <c r="C9" s="14">
        <v>1</v>
      </c>
      <c r="D9" s="14"/>
      <c r="E9" s="14"/>
      <c r="F9" s="14"/>
      <c r="G9" s="14"/>
      <c r="H9" s="14"/>
      <c r="I9" s="14"/>
      <c r="J9" s="14"/>
      <c r="K9" s="15"/>
      <c r="L9" s="15"/>
      <c r="M9" s="15"/>
      <c r="N9" s="15"/>
      <c r="O9" s="15"/>
      <c r="P9" s="15"/>
      <c r="Q9" s="16"/>
      <c r="R9" s="16"/>
      <c r="S9" s="16"/>
      <c r="T9" s="17"/>
      <c r="U9" s="17"/>
      <c r="V9" s="17"/>
      <c r="W9" s="18"/>
      <c r="X9" s="18"/>
      <c r="Y9" s="18"/>
      <c r="Z9" s="21"/>
      <c r="AA9" s="25"/>
      <c r="AB9" s="25"/>
      <c r="AC9" s="25"/>
      <c r="AD9" s="25"/>
      <c r="AE9" s="27"/>
      <c r="AF9" s="51"/>
      <c r="AG9" s="51"/>
      <c r="AH9" s="51"/>
      <c r="AI9" s="51"/>
      <c r="AJ9" s="51">
        <v>1</v>
      </c>
      <c r="AK9" s="51">
        <v>1</v>
      </c>
      <c r="AL9" s="51"/>
      <c r="AM9" s="51">
        <v>1</v>
      </c>
      <c r="AN9" s="51"/>
      <c r="AO9" s="51"/>
      <c r="AP9" s="51"/>
      <c r="AQ9" s="51"/>
      <c r="AR9" s="51"/>
      <c r="AS9" s="51"/>
      <c r="AT9" s="51"/>
      <c r="AU9" s="51"/>
      <c r="AV9" s="51"/>
      <c r="AW9" s="52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54"/>
      <c r="BP9" s="54"/>
      <c r="BQ9" s="54"/>
      <c r="BR9" s="54"/>
      <c r="BS9" s="54"/>
      <c r="BT9" s="54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6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>
        <v>1</v>
      </c>
      <c r="CZ9" s="57"/>
      <c r="DA9" s="57"/>
      <c r="DB9" s="57"/>
      <c r="DC9" s="57"/>
      <c r="DD9" s="57"/>
      <c r="DE9" s="58"/>
      <c r="DF9" s="59"/>
      <c r="DG9" s="59"/>
      <c r="DH9" s="59">
        <v>1</v>
      </c>
      <c r="DI9" s="59"/>
      <c r="DJ9" s="59"/>
      <c r="DK9" s="59"/>
      <c r="DL9" s="60"/>
      <c r="DM9" s="61"/>
      <c r="DN9" s="61"/>
      <c r="DO9" s="61"/>
      <c r="DP9" s="61"/>
      <c r="DQ9" s="61"/>
      <c r="DR9" s="61"/>
      <c r="DS9" s="61"/>
      <c r="DU9">
        <v>2</v>
      </c>
    </row>
    <row r="10" spans="1:125" x14ac:dyDescent="0.25">
      <c r="A10" s="75" t="s">
        <v>167</v>
      </c>
      <c r="B10" s="19">
        <f t="shared" ref="B10:B11" si="1">SUM(C10:DU10)</f>
        <v>7</v>
      </c>
      <c r="C10" s="14">
        <v>1</v>
      </c>
      <c r="D10" s="14"/>
      <c r="E10" s="14"/>
      <c r="F10" s="14"/>
      <c r="G10" s="14"/>
      <c r="H10" s="14"/>
      <c r="I10" s="14"/>
      <c r="J10" s="14"/>
      <c r="K10" s="15"/>
      <c r="L10" s="15"/>
      <c r="M10" s="15"/>
      <c r="N10" s="15"/>
      <c r="O10" s="15"/>
      <c r="P10" s="15"/>
      <c r="Q10" s="16"/>
      <c r="R10" s="16"/>
      <c r="S10" s="16"/>
      <c r="T10" s="17"/>
      <c r="U10" s="17">
        <v>1</v>
      </c>
      <c r="V10" s="17"/>
      <c r="W10" s="18"/>
      <c r="X10" s="18"/>
      <c r="Y10" s="18"/>
      <c r="Z10" s="21"/>
      <c r="AA10" s="25"/>
      <c r="AB10" s="25"/>
      <c r="AC10" s="25"/>
      <c r="AD10" s="25"/>
      <c r="AE10" s="27"/>
      <c r="AF10" s="51"/>
      <c r="AG10" s="51"/>
      <c r="AH10" s="51">
        <v>1</v>
      </c>
      <c r="AI10" s="51">
        <v>1</v>
      </c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2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54"/>
      <c r="BP10" s="54"/>
      <c r="BQ10" s="54"/>
      <c r="BR10" s="54"/>
      <c r="BS10" s="54"/>
      <c r="BT10" s="54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6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8"/>
      <c r="DF10" s="59">
        <v>1</v>
      </c>
      <c r="DG10" s="59"/>
      <c r="DH10" s="59"/>
      <c r="DI10" s="59"/>
      <c r="DJ10" s="59"/>
      <c r="DK10" s="59"/>
      <c r="DL10" s="60"/>
      <c r="DM10" s="61"/>
      <c r="DN10" s="61"/>
      <c r="DO10" s="61"/>
      <c r="DP10" s="61"/>
      <c r="DQ10" s="61"/>
      <c r="DR10" s="61">
        <v>1</v>
      </c>
      <c r="DS10" s="61"/>
      <c r="DT10">
        <v>1</v>
      </c>
    </row>
    <row r="11" spans="1:125" x14ac:dyDescent="0.25">
      <c r="A11" s="75" t="s">
        <v>168</v>
      </c>
      <c r="B11" s="19">
        <f t="shared" si="1"/>
        <v>10</v>
      </c>
      <c r="C11" s="14">
        <v>1</v>
      </c>
      <c r="D11" s="14"/>
      <c r="E11" s="14"/>
      <c r="F11" s="14"/>
      <c r="G11" s="14"/>
      <c r="H11" s="14"/>
      <c r="I11" s="14"/>
      <c r="J11" s="14"/>
      <c r="K11" s="15"/>
      <c r="L11" s="15"/>
      <c r="M11" s="15"/>
      <c r="N11" s="15"/>
      <c r="O11" s="15"/>
      <c r="P11" s="15"/>
      <c r="Q11" s="16"/>
      <c r="R11" s="16"/>
      <c r="S11" s="16"/>
      <c r="T11" s="17"/>
      <c r="U11" s="17"/>
      <c r="V11" s="17"/>
      <c r="W11" s="18"/>
      <c r="X11" s="18"/>
      <c r="Y11" s="18"/>
      <c r="Z11" s="21"/>
      <c r="AA11" s="25"/>
      <c r="AB11" s="25"/>
      <c r="AC11" s="25"/>
      <c r="AD11" s="25"/>
      <c r="AE11" s="27"/>
      <c r="AF11" s="51"/>
      <c r="AG11" s="51"/>
      <c r="AH11" s="51">
        <v>1</v>
      </c>
      <c r="AI11" s="51">
        <v>1</v>
      </c>
      <c r="AJ11" s="51">
        <v>1</v>
      </c>
      <c r="AK11" s="51">
        <v>1</v>
      </c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2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54"/>
      <c r="BP11" s="54"/>
      <c r="BQ11" s="54"/>
      <c r="BR11" s="54"/>
      <c r="BS11" s="54"/>
      <c r="BT11" s="54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6"/>
      <c r="CM11" s="57"/>
      <c r="CN11" s="57"/>
      <c r="CO11" s="57"/>
      <c r="CP11" s="57"/>
      <c r="CQ11" s="57"/>
      <c r="CR11" s="57"/>
      <c r="CS11" s="57">
        <v>2</v>
      </c>
      <c r="CT11" s="57"/>
      <c r="CU11" s="57"/>
      <c r="CV11" s="57"/>
      <c r="CW11" s="57"/>
      <c r="CX11" s="57"/>
      <c r="CY11" s="57">
        <v>1</v>
      </c>
      <c r="CZ11" s="57"/>
      <c r="DA11" s="57"/>
      <c r="DB11" s="57"/>
      <c r="DC11" s="57"/>
      <c r="DD11" s="57"/>
      <c r="DE11" s="58"/>
      <c r="DF11" s="59"/>
      <c r="DG11" s="59"/>
      <c r="DH11" s="59"/>
      <c r="DI11" s="59"/>
      <c r="DJ11" s="59"/>
      <c r="DK11" s="59"/>
      <c r="DL11" s="60"/>
      <c r="DM11" s="61"/>
      <c r="DN11" s="61"/>
      <c r="DO11" s="61"/>
      <c r="DP11" s="61"/>
      <c r="DQ11" s="61"/>
      <c r="DR11" s="61"/>
      <c r="DS11" s="61"/>
      <c r="DU11">
        <v>2</v>
      </c>
    </row>
    <row r="12" spans="1:125" x14ac:dyDescent="0.25">
      <c r="A12" s="76" t="s">
        <v>169</v>
      </c>
      <c r="B12" s="19">
        <f>SUM(C12:DU12)</f>
        <v>11</v>
      </c>
      <c r="C12" s="14"/>
      <c r="D12" s="14"/>
      <c r="E12" s="14">
        <v>1</v>
      </c>
      <c r="F12" s="14"/>
      <c r="G12" s="14"/>
      <c r="H12" s="14"/>
      <c r="I12" s="14"/>
      <c r="J12" s="14">
        <v>1</v>
      </c>
      <c r="K12" s="15"/>
      <c r="L12" s="15">
        <v>1</v>
      </c>
      <c r="M12" s="15"/>
      <c r="N12" s="15"/>
      <c r="O12" s="15"/>
      <c r="P12" s="15"/>
      <c r="Q12" s="16"/>
      <c r="R12" s="16">
        <v>1</v>
      </c>
      <c r="S12" s="16"/>
      <c r="T12" s="17"/>
      <c r="U12" s="17"/>
      <c r="V12" s="17"/>
      <c r="W12" s="18"/>
      <c r="X12" s="18">
        <v>1</v>
      </c>
      <c r="Y12" s="18"/>
      <c r="Z12" s="21"/>
      <c r="AA12" s="25"/>
      <c r="AB12" s="25"/>
      <c r="AC12" s="25"/>
      <c r="AD12" s="25"/>
      <c r="AE12" s="27"/>
      <c r="AF12" s="51">
        <v>1</v>
      </c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>
        <v>1</v>
      </c>
      <c r="AS12" s="51"/>
      <c r="AT12" s="51"/>
      <c r="AU12" s="51"/>
      <c r="AV12" s="51"/>
      <c r="AW12" s="52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54"/>
      <c r="BP12" s="54"/>
      <c r="BQ12" s="54"/>
      <c r="BR12" s="54"/>
      <c r="BS12" s="54"/>
      <c r="BT12" s="54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6"/>
      <c r="CM12" s="57"/>
      <c r="CN12" s="57"/>
      <c r="CO12" s="57"/>
      <c r="CP12" s="57"/>
      <c r="CQ12" s="57"/>
      <c r="CR12" s="57"/>
      <c r="CS12" s="57"/>
      <c r="CT12" s="57"/>
      <c r="CU12" s="57">
        <v>2</v>
      </c>
      <c r="CV12" s="57"/>
      <c r="CW12" s="57"/>
      <c r="CX12" s="57"/>
      <c r="CY12" s="57"/>
      <c r="CZ12" s="57"/>
      <c r="DA12" s="57"/>
      <c r="DB12" s="57"/>
      <c r="DC12" s="57"/>
      <c r="DD12" s="57"/>
      <c r="DE12" s="58"/>
      <c r="DF12" s="59"/>
      <c r="DG12" s="59"/>
      <c r="DH12" s="59"/>
      <c r="DI12" s="59"/>
      <c r="DJ12" s="59"/>
      <c r="DK12" s="59"/>
      <c r="DL12" s="60"/>
      <c r="DM12" s="61"/>
      <c r="DN12" s="61"/>
      <c r="DO12" s="61"/>
      <c r="DP12" s="61"/>
      <c r="DQ12" s="61"/>
      <c r="DR12" s="61"/>
      <c r="DS12" s="61"/>
      <c r="DU12">
        <v>2</v>
      </c>
    </row>
    <row r="13" spans="1:125" x14ac:dyDescent="0.25">
      <c r="A13" s="76" t="s">
        <v>170</v>
      </c>
      <c r="B13" s="19">
        <f>SUM(C13:DU13)</f>
        <v>11</v>
      </c>
      <c r="C13" s="14"/>
      <c r="D13" s="14"/>
      <c r="E13" s="14">
        <v>1</v>
      </c>
      <c r="F13" s="14"/>
      <c r="G13" s="14"/>
      <c r="H13" s="14"/>
      <c r="I13" s="14"/>
      <c r="J13" s="14">
        <v>1</v>
      </c>
      <c r="K13" s="15"/>
      <c r="L13" s="15"/>
      <c r="M13" s="15"/>
      <c r="N13" s="15"/>
      <c r="O13" s="15"/>
      <c r="P13" s="15"/>
      <c r="Q13" s="16"/>
      <c r="R13" s="16">
        <v>1</v>
      </c>
      <c r="S13" s="16"/>
      <c r="T13" s="17"/>
      <c r="U13" s="17"/>
      <c r="V13" s="17"/>
      <c r="W13" s="18"/>
      <c r="X13" s="18">
        <v>1</v>
      </c>
      <c r="Y13" s="18"/>
      <c r="Z13" s="21"/>
      <c r="AA13" s="25"/>
      <c r="AB13" s="25"/>
      <c r="AC13" s="25"/>
      <c r="AD13" s="25"/>
      <c r="AE13" s="27"/>
      <c r="AF13" s="51">
        <v>1</v>
      </c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>
        <v>1</v>
      </c>
      <c r="AS13" s="51"/>
      <c r="AT13" s="51"/>
      <c r="AU13" s="51"/>
      <c r="AV13" s="51"/>
      <c r="AW13" s="52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54"/>
      <c r="BP13" s="54"/>
      <c r="BQ13" s="54"/>
      <c r="BR13" s="54"/>
      <c r="BS13" s="54"/>
      <c r="BT13" s="54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6"/>
      <c r="CM13" s="57"/>
      <c r="CN13" s="57"/>
      <c r="CO13" s="57"/>
      <c r="CP13" s="57"/>
      <c r="CQ13" s="57"/>
      <c r="CR13" s="57"/>
      <c r="CS13" s="57"/>
      <c r="CT13" s="57"/>
      <c r="CU13" s="57">
        <v>3</v>
      </c>
      <c r="CV13" s="57"/>
      <c r="CW13" s="57"/>
      <c r="CX13" s="57"/>
      <c r="CY13" s="57"/>
      <c r="CZ13" s="57"/>
      <c r="DA13" s="57"/>
      <c r="DB13" s="57"/>
      <c r="DC13" s="57"/>
      <c r="DD13" s="57"/>
      <c r="DE13" s="58"/>
      <c r="DF13" s="59"/>
      <c r="DG13" s="59"/>
      <c r="DH13" s="59"/>
      <c r="DI13" s="59"/>
      <c r="DJ13" s="59"/>
      <c r="DK13" s="59"/>
      <c r="DL13" s="60"/>
      <c r="DM13" s="61"/>
      <c r="DN13" s="61"/>
      <c r="DO13" s="61"/>
      <c r="DP13" s="61"/>
      <c r="DQ13" s="61"/>
      <c r="DR13" s="61"/>
      <c r="DS13" s="61"/>
      <c r="DU13">
        <v>2</v>
      </c>
    </row>
    <row r="14" spans="1:125" x14ac:dyDescent="0.25">
      <c r="A14" s="77" t="s">
        <v>171</v>
      </c>
      <c r="B14" s="19">
        <f>SUM(C14:DU14)</f>
        <v>11</v>
      </c>
      <c r="C14" s="14"/>
      <c r="D14" s="14">
        <v>1</v>
      </c>
      <c r="E14" s="14"/>
      <c r="F14" s="14"/>
      <c r="G14" s="14"/>
      <c r="H14" s="14"/>
      <c r="I14" s="14"/>
      <c r="J14" s="14"/>
      <c r="K14" s="15">
        <v>1</v>
      </c>
      <c r="L14" s="15"/>
      <c r="M14" s="15"/>
      <c r="N14" s="15">
        <v>1</v>
      </c>
      <c r="O14" s="15"/>
      <c r="P14" s="15"/>
      <c r="Q14" s="16"/>
      <c r="R14" s="16"/>
      <c r="S14" s="16"/>
      <c r="T14" s="17"/>
      <c r="U14" s="17">
        <v>1</v>
      </c>
      <c r="V14" s="17"/>
      <c r="W14" s="18"/>
      <c r="X14" s="18"/>
      <c r="Y14" s="18"/>
      <c r="Z14" s="21"/>
      <c r="AA14" s="25"/>
      <c r="AB14" s="25"/>
      <c r="AC14" s="25"/>
      <c r="AD14" s="25">
        <v>1</v>
      </c>
      <c r="AE14" s="27"/>
      <c r="AF14" s="51">
        <v>1</v>
      </c>
      <c r="AG14" s="51"/>
      <c r="AH14" s="51"/>
      <c r="AI14" s="51"/>
      <c r="AJ14" s="51"/>
      <c r="AK14" s="51"/>
      <c r="AL14" s="51">
        <v>1</v>
      </c>
      <c r="AM14" s="51"/>
      <c r="AN14" s="51"/>
      <c r="AO14" s="51"/>
      <c r="AP14" s="51"/>
      <c r="AQ14" s="51"/>
      <c r="AR14" s="51"/>
      <c r="AS14" s="51"/>
      <c r="AT14" s="51"/>
      <c r="AU14" s="51">
        <v>1</v>
      </c>
      <c r="AV14" s="51"/>
      <c r="AW14" s="52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54"/>
      <c r="BP14" s="54"/>
      <c r="BQ14" s="54"/>
      <c r="BR14" s="54"/>
      <c r="BS14" s="54"/>
      <c r="BT14" s="54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6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8"/>
      <c r="DF14" s="59"/>
      <c r="DG14" s="59"/>
      <c r="DH14" s="59"/>
      <c r="DI14" s="59"/>
      <c r="DJ14" s="59"/>
      <c r="DK14" s="59"/>
      <c r="DL14" s="60"/>
      <c r="DM14" s="61"/>
      <c r="DN14" s="61"/>
      <c r="DO14" s="61"/>
      <c r="DP14" s="61"/>
      <c r="DQ14" s="61"/>
      <c r="DR14" s="61">
        <v>1</v>
      </c>
      <c r="DS14" s="61"/>
      <c r="DU14">
        <v>2</v>
      </c>
    </row>
    <row r="15" spans="1:125" x14ac:dyDescent="0.25">
      <c r="A15" s="77" t="s">
        <v>172</v>
      </c>
      <c r="B15" s="19">
        <f t="shared" ref="B15:B16" si="2">SUM(C15:DU15)</f>
        <v>10</v>
      </c>
      <c r="C15" s="14"/>
      <c r="D15" s="14">
        <v>1</v>
      </c>
      <c r="E15" s="14">
        <v>1</v>
      </c>
      <c r="F15" s="14"/>
      <c r="G15" s="14"/>
      <c r="H15" s="14"/>
      <c r="I15" s="14"/>
      <c r="J15" s="14"/>
      <c r="K15" s="15"/>
      <c r="L15" s="15"/>
      <c r="M15" s="15"/>
      <c r="N15" s="15"/>
      <c r="O15" s="15"/>
      <c r="P15" s="15"/>
      <c r="Q15" s="16"/>
      <c r="R15" s="16">
        <v>1</v>
      </c>
      <c r="S15" s="16"/>
      <c r="T15" s="17"/>
      <c r="U15" s="17"/>
      <c r="V15" s="17"/>
      <c r="W15" s="18"/>
      <c r="X15" s="18"/>
      <c r="Y15" s="18"/>
      <c r="Z15" s="21"/>
      <c r="AA15" s="25">
        <v>1</v>
      </c>
      <c r="AB15" s="25"/>
      <c r="AC15" s="25"/>
      <c r="AD15" s="25"/>
      <c r="AE15" s="27">
        <v>1</v>
      </c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>
        <v>1</v>
      </c>
      <c r="AQ15" s="51">
        <v>1</v>
      </c>
      <c r="AR15" s="51"/>
      <c r="AS15" s="51"/>
      <c r="AT15" s="51"/>
      <c r="AU15" s="51"/>
      <c r="AV15" s="51"/>
      <c r="AW15" s="52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54"/>
      <c r="BP15" s="54"/>
      <c r="BQ15" s="54"/>
      <c r="BR15" s="54"/>
      <c r="BS15" s="54"/>
      <c r="BT15" s="54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6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8"/>
      <c r="DF15" s="59"/>
      <c r="DG15" s="59"/>
      <c r="DH15" s="59"/>
      <c r="DI15" s="59"/>
      <c r="DJ15" s="59"/>
      <c r="DK15" s="59">
        <v>1</v>
      </c>
      <c r="DL15" s="60"/>
      <c r="DM15" s="61"/>
      <c r="DN15" s="61"/>
      <c r="DO15" s="61"/>
      <c r="DP15" s="61"/>
      <c r="DQ15" s="61"/>
      <c r="DR15" s="61"/>
      <c r="DS15" s="61"/>
      <c r="DU15">
        <v>2</v>
      </c>
    </row>
    <row r="16" spans="1:125" x14ac:dyDescent="0.25">
      <c r="A16" s="78" t="s">
        <v>0</v>
      </c>
      <c r="B16" s="19">
        <f t="shared" si="2"/>
        <v>11</v>
      </c>
      <c r="C16" s="14"/>
      <c r="D16" s="14">
        <v>1</v>
      </c>
      <c r="E16" s="14"/>
      <c r="F16" s="14"/>
      <c r="G16" s="14"/>
      <c r="H16" s="14">
        <v>2</v>
      </c>
      <c r="I16" s="14"/>
      <c r="J16" s="14"/>
      <c r="K16" s="15">
        <v>1</v>
      </c>
      <c r="L16" s="15"/>
      <c r="M16" s="15"/>
      <c r="N16" s="15"/>
      <c r="O16" s="15"/>
      <c r="P16" s="15"/>
      <c r="Q16" s="16"/>
      <c r="R16" s="16">
        <v>1</v>
      </c>
      <c r="S16" s="16"/>
      <c r="T16" s="17"/>
      <c r="U16" s="17"/>
      <c r="V16" s="17"/>
      <c r="W16" s="18"/>
      <c r="X16" s="18"/>
      <c r="Y16" s="18"/>
      <c r="Z16" s="21"/>
      <c r="AA16" s="25">
        <v>1</v>
      </c>
      <c r="AB16" s="25">
        <v>1</v>
      </c>
      <c r="AC16" s="25"/>
      <c r="AD16" s="25"/>
      <c r="AE16" s="27">
        <v>1</v>
      </c>
      <c r="AF16" s="51">
        <v>1</v>
      </c>
      <c r="AG16" s="51"/>
      <c r="AH16" s="51"/>
      <c r="AI16" s="51"/>
      <c r="AJ16" s="51"/>
      <c r="AK16" s="51"/>
      <c r="AL16" s="51"/>
      <c r="AM16" s="51"/>
      <c r="AN16" s="51"/>
      <c r="AO16" s="51"/>
      <c r="AP16" s="51">
        <v>1</v>
      </c>
      <c r="AQ16" s="51"/>
      <c r="AR16" s="51"/>
      <c r="AS16" s="51"/>
      <c r="AT16" s="51"/>
      <c r="AU16" s="51"/>
      <c r="AV16" s="51"/>
      <c r="AW16" s="52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54"/>
      <c r="BP16" s="54"/>
      <c r="BQ16" s="54"/>
      <c r="BR16" s="54"/>
      <c r="BS16" s="54"/>
      <c r="BT16" s="54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6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8"/>
      <c r="DF16" s="59"/>
      <c r="DG16" s="59"/>
      <c r="DH16" s="59"/>
      <c r="DI16" s="59"/>
      <c r="DJ16" s="59"/>
      <c r="DK16" s="59"/>
      <c r="DL16" s="60"/>
      <c r="DM16" s="61"/>
      <c r="DN16" s="61"/>
      <c r="DO16" s="61"/>
      <c r="DP16" s="61"/>
      <c r="DQ16" s="61"/>
      <c r="DR16" s="61"/>
      <c r="DS16" s="61"/>
      <c r="DT16">
        <v>1</v>
      </c>
    </row>
    <row r="17" spans="1:125" x14ac:dyDescent="0.25">
      <c r="A17" s="79" t="s">
        <v>173</v>
      </c>
      <c r="B17" s="19">
        <f>SUM(C17:DU17)</f>
        <v>12</v>
      </c>
      <c r="C17" s="14">
        <v>1</v>
      </c>
      <c r="D17" s="14"/>
      <c r="E17" s="14"/>
      <c r="F17" s="14">
        <v>2</v>
      </c>
      <c r="G17" s="14"/>
      <c r="H17" s="14"/>
      <c r="I17" s="14"/>
      <c r="J17" s="14"/>
      <c r="K17" s="15"/>
      <c r="L17" s="15"/>
      <c r="M17" s="15"/>
      <c r="N17" s="15"/>
      <c r="O17" s="15"/>
      <c r="P17" s="15"/>
      <c r="Q17" s="16"/>
      <c r="R17" s="16"/>
      <c r="S17" s="16"/>
      <c r="T17" s="17"/>
      <c r="U17" s="17"/>
      <c r="V17" s="17"/>
      <c r="W17" s="18"/>
      <c r="X17" s="18"/>
      <c r="Y17" s="18"/>
      <c r="Z17" s="21"/>
      <c r="AA17" s="25"/>
      <c r="AB17" s="25">
        <v>1</v>
      </c>
      <c r="AC17" s="25"/>
      <c r="AD17" s="25"/>
      <c r="AE17" s="27"/>
      <c r="AF17" s="51"/>
      <c r="AG17" s="51"/>
      <c r="AH17" s="51">
        <v>1</v>
      </c>
      <c r="AI17" s="51">
        <v>1</v>
      </c>
      <c r="AJ17" s="51"/>
      <c r="AK17" s="51"/>
      <c r="AL17" s="51"/>
      <c r="AM17" s="51">
        <v>1</v>
      </c>
      <c r="AN17" s="51"/>
      <c r="AO17" s="51"/>
      <c r="AP17" s="51"/>
      <c r="AQ17" s="51"/>
      <c r="AR17" s="51"/>
      <c r="AS17" s="51"/>
      <c r="AT17" s="51"/>
      <c r="AU17" s="51"/>
      <c r="AV17" s="51">
        <v>1</v>
      </c>
      <c r="AW17" s="52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54"/>
      <c r="BP17" s="54"/>
      <c r="BQ17" s="54"/>
      <c r="BR17" s="54"/>
      <c r="BS17" s="54"/>
      <c r="BT17" s="54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6"/>
      <c r="CM17" s="57"/>
      <c r="CN17" s="57"/>
      <c r="CO17" s="57"/>
      <c r="CP17" s="57"/>
      <c r="CQ17" s="57"/>
      <c r="CR17" s="57"/>
      <c r="CS17" s="57"/>
      <c r="CT17" s="57"/>
      <c r="CU17" s="57"/>
      <c r="CV17" s="57">
        <v>2</v>
      </c>
      <c r="CW17" s="57"/>
      <c r="CX17" s="57"/>
      <c r="CY17" s="57"/>
      <c r="CZ17" s="57"/>
      <c r="DA17" s="57"/>
      <c r="DB17" s="57"/>
      <c r="DC17" s="57"/>
      <c r="DD17" s="57"/>
      <c r="DE17" s="58"/>
      <c r="DF17" s="59"/>
      <c r="DG17" s="59"/>
      <c r="DH17" s="59"/>
      <c r="DI17" s="59"/>
      <c r="DJ17" s="59"/>
      <c r="DK17" s="59"/>
      <c r="DL17" s="60"/>
      <c r="DM17" s="61"/>
      <c r="DN17" s="61"/>
      <c r="DO17" s="61"/>
      <c r="DP17" s="61"/>
      <c r="DQ17" s="61"/>
      <c r="DR17" s="61"/>
      <c r="DS17" s="61"/>
      <c r="DU17">
        <v>2</v>
      </c>
    </row>
    <row r="18" spans="1:125" x14ac:dyDescent="0.25">
      <c r="A18" s="79" t="s">
        <v>174</v>
      </c>
      <c r="B18" s="19">
        <f t="shared" ref="B18:B21" si="3">SUM(C18:DU18)</f>
        <v>11</v>
      </c>
      <c r="C18" s="14">
        <v>1</v>
      </c>
      <c r="D18" s="14"/>
      <c r="E18" s="14"/>
      <c r="F18" s="14"/>
      <c r="G18" s="14"/>
      <c r="H18" s="14"/>
      <c r="I18" s="14"/>
      <c r="J18" s="14"/>
      <c r="K18" s="15"/>
      <c r="L18" s="15"/>
      <c r="M18" s="15"/>
      <c r="N18" s="15"/>
      <c r="O18" s="15"/>
      <c r="P18" s="15"/>
      <c r="Q18" s="16">
        <v>1</v>
      </c>
      <c r="R18" s="16"/>
      <c r="S18" s="16"/>
      <c r="T18" s="17"/>
      <c r="U18" s="17"/>
      <c r="V18" s="17"/>
      <c r="W18" s="18"/>
      <c r="X18" s="18"/>
      <c r="Y18" s="18"/>
      <c r="Z18" s="21"/>
      <c r="AA18" s="25"/>
      <c r="AB18" s="25">
        <v>1</v>
      </c>
      <c r="AC18" s="25"/>
      <c r="AD18" s="25"/>
      <c r="AE18" s="27"/>
      <c r="AF18" s="51">
        <v>1</v>
      </c>
      <c r="AG18" s="51">
        <v>1</v>
      </c>
      <c r="AH18" s="51">
        <v>1</v>
      </c>
      <c r="AI18" s="51">
        <v>1</v>
      </c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>
        <v>1</v>
      </c>
      <c r="AW18" s="52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54"/>
      <c r="BP18" s="54"/>
      <c r="BQ18" s="54"/>
      <c r="BR18" s="54"/>
      <c r="BS18" s="54"/>
      <c r="BT18" s="54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6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9"/>
      <c r="DG18" s="59"/>
      <c r="DH18" s="59"/>
      <c r="DI18" s="59"/>
      <c r="DJ18" s="59"/>
      <c r="DK18" s="59"/>
      <c r="DL18" s="60"/>
      <c r="DM18" s="61"/>
      <c r="DN18" s="61"/>
      <c r="DO18" s="61"/>
      <c r="DP18" s="61"/>
      <c r="DQ18" s="61"/>
      <c r="DR18" s="61"/>
      <c r="DS18" s="61">
        <v>1</v>
      </c>
      <c r="DU18">
        <v>2</v>
      </c>
    </row>
    <row r="19" spans="1:125" x14ac:dyDescent="0.25">
      <c r="A19" s="79" t="s">
        <v>1</v>
      </c>
      <c r="B19" s="19">
        <f t="shared" si="3"/>
        <v>13</v>
      </c>
      <c r="C19" s="14">
        <v>1</v>
      </c>
      <c r="D19" s="14"/>
      <c r="E19" s="14"/>
      <c r="F19" s="14"/>
      <c r="G19" s="14"/>
      <c r="H19" s="14"/>
      <c r="I19" s="14"/>
      <c r="J19" s="14"/>
      <c r="K19" s="15"/>
      <c r="L19" s="15"/>
      <c r="M19" s="15"/>
      <c r="N19" s="15"/>
      <c r="O19" s="15"/>
      <c r="P19" s="15"/>
      <c r="Q19" s="16"/>
      <c r="R19" s="16"/>
      <c r="S19" s="16"/>
      <c r="T19" s="17">
        <v>1</v>
      </c>
      <c r="U19" s="17"/>
      <c r="V19" s="17">
        <v>1</v>
      </c>
      <c r="W19" s="18"/>
      <c r="X19" s="18"/>
      <c r="Y19" s="18"/>
      <c r="Z19" s="21"/>
      <c r="AA19" s="25"/>
      <c r="AB19" s="25"/>
      <c r="AC19" s="25"/>
      <c r="AD19" s="25"/>
      <c r="AE19" s="27">
        <v>1</v>
      </c>
      <c r="AF19" s="51">
        <v>1</v>
      </c>
      <c r="AG19" s="51">
        <v>1</v>
      </c>
      <c r="AH19" s="51">
        <v>1</v>
      </c>
      <c r="AI19" s="51">
        <v>1</v>
      </c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2"/>
      <c r="AX19" s="53"/>
      <c r="AY19" s="53"/>
      <c r="AZ19" s="53"/>
      <c r="BA19" s="53"/>
      <c r="BB19" s="53"/>
      <c r="BC19" s="53">
        <v>1</v>
      </c>
      <c r="BD19" s="53">
        <v>1</v>
      </c>
      <c r="BE19" s="53">
        <v>1</v>
      </c>
      <c r="BF19" s="53"/>
      <c r="BG19" s="53"/>
      <c r="BH19" s="53"/>
      <c r="BI19" s="53"/>
      <c r="BJ19" s="53"/>
      <c r="BK19" s="53"/>
      <c r="BL19" s="53"/>
      <c r="BM19" s="53"/>
      <c r="BN19" s="54"/>
      <c r="BO19" s="54"/>
      <c r="BP19" s="54"/>
      <c r="BQ19" s="54"/>
      <c r="BR19" s="54"/>
      <c r="BS19" s="54"/>
      <c r="BT19" s="54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6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9"/>
      <c r="DG19" s="59"/>
      <c r="DH19" s="59"/>
      <c r="DI19" s="59"/>
      <c r="DJ19" s="59"/>
      <c r="DK19" s="59"/>
      <c r="DL19" s="60"/>
      <c r="DM19" s="61"/>
      <c r="DN19" s="61"/>
      <c r="DO19" s="61"/>
      <c r="DP19" s="61"/>
      <c r="DQ19" s="61"/>
      <c r="DR19" s="61"/>
      <c r="DS19" s="61"/>
      <c r="DU19">
        <v>2</v>
      </c>
    </row>
    <row r="20" spans="1:125" x14ac:dyDescent="0.25">
      <c r="A20" s="80" t="s">
        <v>2</v>
      </c>
      <c r="B20" s="19">
        <f t="shared" si="3"/>
        <v>12</v>
      </c>
      <c r="C20" s="14">
        <v>2</v>
      </c>
      <c r="D20" s="14"/>
      <c r="E20" s="14"/>
      <c r="F20" s="14"/>
      <c r="G20" s="14">
        <v>1</v>
      </c>
      <c r="H20" s="14">
        <v>-2</v>
      </c>
      <c r="I20" s="14"/>
      <c r="J20" s="14"/>
      <c r="K20" s="15">
        <v>1</v>
      </c>
      <c r="L20" s="15">
        <v>1</v>
      </c>
      <c r="M20" s="15"/>
      <c r="N20" s="15"/>
      <c r="O20" s="15"/>
      <c r="P20" s="15"/>
      <c r="Q20" s="16"/>
      <c r="R20" s="16"/>
      <c r="S20" s="16"/>
      <c r="T20" s="17"/>
      <c r="U20" s="17"/>
      <c r="V20" s="17">
        <v>1</v>
      </c>
      <c r="W20" s="18"/>
      <c r="X20" s="18">
        <v>1</v>
      </c>
      <c r="Y20" s="18"/>
      <c r="Z20" s="21"/>
      <c r="AA20" s="25"/>
      <c r="AB20" s="25"/>
      <c r="AC20" s="25"/>
      <c r="AD20" s="25">
        <v>1</v>
      </c>
      <c r="AE20" s="27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>
        <v>1</v>
      </c>
      <c r="AT20" s="51"/>
      <c r="AU20" s="51"/>
      <c r="AV20" s="51"/>
      <c r="AW20" s="52">
        <v>1</v>
      </c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54"/>
      <c r="BP20" s="54"/>
      <c r="BQ20" s="54"/>
      <c r="BR20" s="54"/>
      <c r="BS20" s="54"/>
      <c r="BT20" s="54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6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9"/>
      <c r="DG20" s="59"/>
      <c r="DH20" s="59"/>
      <c r="DI20" s="59"/>
      <c r="DJ20" s="59"/>
      <c r="DK20" s="59"/>
      <c r="DL20" s="60"/>
      <c r="DM20" s="61"/>
      <c r="DN20" s="61"/>
      <c r="DO20" s="61"/>
      <c r="DP20" s="61"/>
      <c r="DQ20" s="61">
        <v>1</v>
      </c>
      <c r="DR20" s="61">
        <v>1</v>
      </c>
      <c r="DS20" s="61"/>
      <c r="DU20">
        <v>2</v>
      </c>
    </row>
    <row r="21" spans="1:125" x14ac:dyDescent="0.25">
      <c r="A21" s="81" t="s">
        <v>3</v>
      </c>
      <c r="B21" s="19">
        <f t="shared" si="3"/>
        <v>9</v>
      </c>
      <c r="C21" s="14"/>
      <c r="D21" s="14"/>
      <c r="E21" s="14"/>
      <c r="F21" s="14">
        <v>1</v>
      </c>
      <c r="G21" s="14"/>
      <c r="H21" s="14"/>
      <c r="I21" s="14"/>
      <c r="J21" s="14"/>
      <c r="K21" s="15"/>
      <c r="L21" s="15"/>
      <c r="M21" s="15"/>
      <c r="N21" s="15"/>
      <c r="O21" s="15"/>
      <c r="P21" s="15"/>
      <c r="Q21" s="16"/>
      <c r="R21" s="16"/>
      <c r="S21" s="16"/>
      <c r="T21" s="17"/>
      <c r="U21" s="17"/>
      <c r="V21" s="17"/>
      <c r="W21" s="18"/>
      <c r="X21" s="18"/>
      <c r="Y21" s="18"/>
      <c r="Z21" s="21"/>
      <c r="AA21" s="25">
        <v>1</v>
      </c>
      <c r="AB21" s="25"/>
      <c r="AC21" s="25"/>
      <c r="AD21" s="25"/>
      <c r="AE21" s="27">
        <v>1</v>
      </c>
      <c r="AF21" s="51">
        <v>1</v>
      </c>
      <c r="AG21" s="51"/>
      <c r="AH21" s="51"/>
      <c r="AI21" s="51"/>
      <c r="AJ21" s="51"/>
      <c r="AK21" s="51"/>
      <c r="AL21" s="51">
        <v>1</v>
      </c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2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54"/>
      <c r="BP21" s="54"/>
      <c r="BQ21" s="54"/>
      <c r="BR21" s="54"/>
      <c r="BS21" s="54"/>
      <c r="BT21" s="54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6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9"/>
      <c r="DG21" s="59"/>
      <c r="DH21" s="59"/>
      <c r="DI21" s="59"/>
      <c r="DJ21" s="59"/>
      <c r="DK21" s="59"/>
      <c r="DL21" s="60"/>
      <c r="DM21" s="61"/>
      <c r="DN21" s="61">
        <v>1</v>
      </c>
      <c r="DO21" s="61"/>
      <c r="DP21" s="61"/>
      <c r="DQ21" s="61">
        <v>1</v>
      </c>
      <c r="DR21" s="61"/>
      <c r="DS21" s="61"/>
      <c r="DU21">
        <v>2</v>
      </c>
    </row>
    <row r="22" spans="1:125" x14ac:dyDescent="0.25">
      <c r="A22" s="82" t="s">
        <v>175</v>
      </c>
      <c r="B22" s="19">
        <f>SUM(C22:DU22)</f>
        <v>8</v>
      </c>
      <c r="C22" s="14">
        <v>1</v>
      </c>
      <c r="D22" s="14"/>
      <c r="E22" s="14"/>
      <c r="F22" s="14"/>
      <c r="G22" s="14"/>
      <c r="H22" s="14"/>
      <c r="I22" s="14">
        <v>1</v>
      </c>
      <c r="J22" s="14"/>
      <c r="K22" s="15"/>
      <c r="L22" s="15"/>
      <c r="M22" s="15"/>
      <c r="N22" s="15"/>
      <c r="O22" s="15"/>
      <c r="P22" s="15"/>
      <c r="Q22" s="16"/>
      <c r="R22" s="16"/>
      <c r="S22" s="16"/>
      <c r="T22" s="17"/>
      <c r="U22" s="17"/>
      <c r="V22" s="17">
        <v>1</v>
      </c>
      <c r="W22" s="18"/>
      <c r="X22" s="18"/>
      <c r="Y22" s="18"/>
      <c r="Z22" s="21"/>
      <c r="AA22" s="25"/>
      <c r="AB22" s="25"/>
      <c r="AC22" s="25"/>
      <c r="AD22" s="25"/>
      <c r="AE22" s="27">
        <v>1</v>
      </c>
      <c r="AF22" s="51"/>
      <c r="AG22" s="51"/>
      <c r="AH22" s="51"/>
      <c r="AI22" s="51"/>
      <c r="AJ22" s="51">
        <v>1</v>
      </c>
      <c r="AK22" s="51">
        <v>1</v>
      </c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2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54"/>
      <c r="BP22" s="54"/>
      <c r="BQ22" s="54"/>
      <c r="BR22" s="54"/>
      <c r="BS22" s="54"/>
      <c r="BT22" s="54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6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9"/>
      <c r="DG22" s="59"/>
      <c r="DH22" s="59"/>
      <c r="DI22" s="59"/>
      <c r="DJ22" s="59"/>
      <c r="DK22" s="59"/>
      <c r="DL22" s="60">
        <v>1</v>
      </c>
      <c r="DM22" s="61">
        <v>1</v>
      </c>
      <c r="DN22" s="61"/>
      <c r="DO22" s="61"/>
      <c r="DP22" s="61"/>
      <c r="DQ22" s="61"/>
      <c r="DR22" s="61"/>
      <c r="DS22" s="61"/>
    </row>
    <row r="23" spans="1:125" x14ac:dyDescent="0.25">
      <c r="A23" s="82" t="s">
        <v>176</v>
      </c>
      <c r="B23" s="19">
        <f>SUM(C23:DU23)</f>
        <v>8</v>
      </c>
      <c r="C23" s="14">
        <v>1</v>
      </c>
      <c r="D23" s="14"/>
      <c r="E23" s="14"/>
      <c r="F23" s="14"/>
      <c r="G23" s="14"/>
      <c r="H23" s="14"/>
      <c r="I23" s="14">
        <v>1</v>
      </c>
      <c r="J23" s="14"/>
      <c r="K23" s="15"/>
      <c r="L23" s="15"/>
      <c r="M23" s="15"/>
      <c r="N23" s="15"/>
      <c r="O23" s="15"/>
      <c r="P23" s="15"/>
      <c r="Q23" s="16"/>
      <c r="R23" s="16"/>
      <c r="S23" s="16"/>
      <c r="T23" s="17"/>
      <c r="U23" s="17"/>
      <c r="V23" s="17">
        <v>1</v>
      </c>
      <c r="W23" s="18"/>
      <c r="X23" s="18"/>
      <c r="Y23" s="18"/>
      <c r="Z23" s="21"/>
      <c r="AA23" s="25"/>
      <c r="AB23" s="25"/>
      <c r="AC23" s="25">
        <v>1</v>
      </c>
      <c r="AD23" s="25"/>
      <c r="AE23" s="27"/>
      <c r="AF23" s="51"/>
      <c r="AG23" s="51"/>
      <c r="AH23" s="51"/>
      <c r="AI23" s="51"/>
      <c r="AJ23" s="51">
        <v>1</v>
      </c>
      <c r="AK23" s="51">
        <v>1</v>
      </c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2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54"/>
      <c r="BP23" s="54"/>
      <c r="BQ23" s="54"/>
      <c r="BR23" s="54"/>
      <c r="BS23" s="54"/>
      <c r="BT23" s="54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6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9">
        <v>1</v>
      </c>
      <c r="DG23" s="59"/>
      <c r="DH23" s="59"/>
      <c r="DI23" s="59"/>
      <c r="DJ23" s="59"/>
      <c r="DK23" s="59"/>
      <c r="DL23" s="60"/>
      <c r="DM23" s="61">
        <v>1</v>
      </c>
      <c r="DN23" s="61"/>
      <c r="DO23" s="61"/>
      <c r="DP23" s="61"/>
      <c r="DQ23" s="61"/>
      <c r="DR23" s="61"/>
      <c r="DS23" s="61"/>
    </row>
    <row r="24" spans="1:125" x14ac:dyDescent="0.25">
      <c r="A24" s="76" t="s">
        <v>177</v>
      </c>
      <c r="B24" s="19">
        <f>SUM(C24:DU24)</f>
        <v>2</v>
      </c>
      <c r="C24" s="14"/>
      <c r="D24" s="14"/>
      <c r="E24" s="14"/>
      <c r="F24" s="14"/>
      <c r="G24" s="14"/>
      <c r="H24" s="14"/>
      <c r="I24" s="14"/>
      <c r="J24" s="14"/>
      <c r="K24" s="15"/>
      <c r="L24" s="15"/>
      <c r="M24" s="15"/>
      <c r="N24" s="15"/>
      <c r="O24" s="15"/>
      <c r="P24" s="15"/>
      <c r="Q24" s="16"/>
      <c r="R24" s="16"/>
      <c r="S24" s="16"/>
      <c r="T24" s="17"/>
      <c r="U24" s="17"/>
      <c r="V24" s="17"/>
      <c r="W24" s="18"/>
      <c r="X24" s="18"/>
      <c r="Y24" s="18"/>
      <c r="Z24" s="21"/>
      <c r="AA24" s="25"/>
      <c r="AB24" s="25"/>
      <c r="AC24" s="25"/>
      <c r="AD24" s="25"/>
      <c r="AE24" s="27"/>
      <c r="AF24" s="51"/>
      <c r="AG24" s="51"/>
      <c r="AH24" s="51"/>
      <c r="AI24" s="51"/>
      <c r="AJ24" s="51"/>
      <c r="AK24" s="51"/>
      <c r="AL24" s="52">
        <v>1</v>
      </c>
      <c r="AM24" s="51"/>
      <c r="AN24" s="90">
        <v>1</v>
      </c>
      <c r="AO24" s="51"/>
      <c r="AP24" s="51"/>
      <c r="AQ24" s="51"/>
      <c r="AR24" s="51"/>
      <c r="AS24" s="51"/>
      <c r="AT24" s="51"/>
      <c r="AU24" s="51"/>
      <c r="AV24" s="51"/>
      <c r="AW24" s="52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54"/>
      <c r="BP24" s="54"/>
      <c r="BQ24" s="54"/>
      <c r="BR24" s="54"/>
      <c r="BS24" s="54"/>
      <c r="BT24" s="54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6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9"/>
      <c r="DG24" s="59"/>
      <c r="DH24" s="59"/>
      <c r="DI24" s="59"/>
      <c r="DJ24" s="59"/>
      <c r="DK24" s="59"/>
      <c r="DL24" s="60"/>
      <c r="DM24" s="61"/>
      <c r="DN24" s="61"/>
      <c r="DO24" s="61"/>
      <c r="DP24" s="61"/>
      <c r="DQ24" s="61"/>
      <c r="DR24" s="61"/>
      <c r="DS24" s="61"/>
    </row>
    <row r="25" spans="1:125" x14ac:dyDescent="0.25">
      <c r="A25" s="76" t="s">
        <v>178</v>
      </c>
      <c r="B25" s="19">
        <f t="shared" ref="B25:B30" si="4">SUM(C25:DU25)</f>
        <v>2</v>
      </c>
      <c r="C25" s="14"/>
      <c r="D25" s="14"/>
      <c r="E25" s="14"/>
      <c r="F25" s="14"/>
      <c r="G25" s="14"/>
      <c r="H25" s="14"/>
      <c r="I25" s="14"/>
      <c r="J25" s="14"/>
      <c r="K25" s="15"/>
      <c r="L25" s="15"/>
      <c r="M25" s="15"/>
      <c r="N25" s="15"/>
      <c r="O25" s="15"/>
      <c r="P25" s="15"/>
      <c r="Q25" s="16"/>
      <c r="R25" s="16"/>
      <c r="S25" s="16"/>
      <c r="T25" s="17"/>
      <c r="U25" s="17"/>
      <c r="V25" s="17"/>
      <c r="W25" s="18"/>
      <c r="X25" s="18"/>
      <c r="Y25" s="18"/>
      <c r="Z25" s="21"/>
      <c r="AA25" s="25"/>
      <c r="AB25" s="25"/>
      <c r="AC25" s="25"/>
      <c r="AD25" s="25"/>
      <c r="AE25" s="27"/>
      <c r="AF25" s="51"/>
      <c r="AG25" s="51"/>
      <c r="AH25" s="51"/>
      <c r="AI25" s="51"/>
      <c r="AJ25" s="51"/>
      <c r="AK25" s="51"/>
      <c r="AL25" s="52">
        <v>1</v>
      </c>
      <c r="AM25" s="51"/>
      <c r="AN25" s="90">
        <v>1</v>
      </c>
      <c r="AO25" s="51"/>
      <c r="AP25" s="51"/>
      <c r="AQ25" s="51"/>
      <c r="AR25" s="51"/>
      <c r="AS25" s="51"/>
      <c r="AT25" s="51"/>
      <c r="AU25" s="51"/>
      <c r="AV25" s="51"/>
      <c r="AW25" s="52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54"/>
      <c r="BP25" s="54"/>
      <c r="BQ25" s="54"/>
      <c r="BR25" s="54"/>
      <c r="BS25" s="54"/>
      <c r="BT25" s="54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6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9"/>
      <c r="DG25" s="59"/>
      <c r="DH25" s="59"/>
      <c r="DI25" s="59"/>
      <c r="DJ25" s="59"/>
      <c r="DK25" s="59"/>
      <c r="DL25" s="60"/>
      <c r="DM25" s="61"/>
      <c r="DN25" s="61"/>
      <c r="DO25" s="61"/>
      <c r="DP25" s="61"/>
      <c r="DQ25" s="61"/>
      <c r="DR25" s="61"/>
      <c r="DS25" s="61"/>
    </row>
    <row r="26" spans="1:125" x14ac:dyDescent="0.25">
      <c r="A26" s="76" t="s">
        <v>179</v>
      </c>
      <c r="B26" s="19">
        <f t="shared" si="4"/>
        <v>2</v>
      </c>
      <c r="C26" s="14"/>
      <c r="D26" s="14"/>
      <c r="E26" s="14"/>
      <c r="F26" s="14"/>
      <c r="G26" s="14"/>
      <c r="H26" s="14"/>
      <c r="I26" s="14"/>
      <c r="J26" s="14"/>
      <c r="K26" s="15"/>
      <c r="L26" s="15"/>
      <c r="M26" s="15"/>
      <c r="N26" s="15"/>
      <c r="O26" s="15"/>
      <c r="P26" s="15"/>
      <c r="Q26" s="16"/>
      <c r="R26" s="16"/>
      <c r="S26" s="16"/>
      <c r="T26" s="17"/>
      <c r="U26" s="17"/>
      <c r="V26" s="17"/>
      <c r="W26" s="18"/>
      <c r="X26" s="18"/>
      <c r="Y26" s="18"/>
      <c r="Z26" s="21"/>
      <c r="AA26" s="25"/>
      <c r="AB26" s="25"/>
      <c r="AC26" s="25"/>
      <c r="AD26" s="25"/>
      <c r="AE26" s="27"/>
      <c r="AF26" s="51"/>
      <c r="AG26" s="51"/>
      <c r="AH26" s="51"/>
      <c r="AI26" s="51"/>
      <c r="AJ26" s="51"/>
      <c r="AK26" s="51"/>
      <c r="AL26" s="52">
        <v>1</v>
      </c>
      <c r="AM26" s="51"/>
      <c r="AN26" s="90">
        <v>1</v>
      </c>
      <c r="AO26" s="51"/>
      <c r="AP26" s="51"/>
      <c r="AQ26" s="51"/>
      <c r="AR26" s="51"/>
      <c r="AS26" s="51"/>
      <c r="AT26" s="51"/>
      <c r="AU26" s="51"/>
      <c r="AV26" s="51"/>
      <c r="AW26" s="52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54"/>
      <c r="BP26" s="54"/>
      <c r="BQ26" s="54"/>
      <c r="BR26" s="54"/>
      <c r="BS26" s="54"/>
      <c r="BT26" s="54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6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9"/>
      <c r="DG26" s="59"/>
      <c r="DH26" s="59"/>
      <c r="DI26" s="59"/>
      <c r="DJ26" s="59"/>
      <c r="DK26" s="59"/>
      <c r="DL26" s="60"/>
      <c r="DM26" s="61"/>
      <c r="DN26" s="61"/>
      <c r="DO26" s="61"/>
      <c r="DP26" s="61"/>
      <c r="DQ26" s="61"/>
      <c r="DR26" s="61"/>
      <c r="DS26" s="61"/>
    </row>
    <row r="27" spans="1:125" x14ac:dyDescent="0.25">
      <c r="A27" s="76" t="s">
        <v>180</v>
      </c>
      <c r="B27" s="19">
        <f t="shared" si="4"/>
        <v>3</v>
      </c>
      <c r="C27" s="14"/>
      <c r="D27" s="14"/>
      <c r="E27" s="14"/>
      <c r="F27" s="14"/>
      <c r="G27" s="14"/>
      <c r="H27" s="14"/>
      <c r="I27" s="14"/>
      <c r="J27" s="14"/>
      <c r="K27" s="15"/>
      <c r="L27" s="15"/>
      <c r="M27" s="15"/>
      <c r="N27" s="15"/>
      <c r="O27" s="15"/>
      <c r="P27" s="15"/>
      <c r="Q27" s="16"/>
      <c r="R27" s="16"/>
      <c r="S27" s="16"/>
      <c r="T27" s="17"/>
      <c r="U27" s="17"/>
      <c r="V27" s="17"/>
      <c r="W27" s="18"/>
      <c r="X27" s="18"/>
      <c r="Y27" s="18"/>
      <c r="Z27" s="21"/>
      <c r="AA27" s="25"/>
      <c r="AB27" s="25"/>
      <c r="AC27" s="25"/>
      <c r="AD27" s="25"/>
      <c r="AE27" s="27"/>
      <c r="AF27" s="51"/>
      <c r="AG27" s="51"/>
      <c r="AH27" s="51"/>
      <c r="AI27" s="51"/>
      <c r="AJ27" s="51"/>
      <c r="AK27" s="51"/>
      <c r="AL27" s="52">
        <v>1</v>
      </c>
      <c r="AM27" s="51"/>
      <c r="AN27" s="90">
        <v>1</v>
      </c>
      <c r="AO27" s="51"/>
      <c r="AP27" s="51"/>
      <c r="AQ27" s="51"/>
      <c r="AR27" s="51"/>
      <c r="AS27" s="51"/>
      <c r="AT27" s="51"/>
      <c r="AU27" s="51"/>
      <c r="AV27" s="51"/>
      <c r="AW27" s="52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54"/>
      <c r="BP27" s="54"/>
      <c r="BQ27" s="54"/>
      <c r="BR27" s="54"/>
      <c r="BS27" s="54"/>
      <c r="BT27" s="54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6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9"/>
      <c r="DG27" s="59"/>
      <c r="DH27" s="59"/>
      <c r="DI27" s="59"/>
      <c r="DJ27" s="59"/>
      <c r="DK27" s="59"/>
      <c r="DL27" s="60"/>
      <c r="DM27" s="61"/>
      <c r="DN27" s="61"/>
      <c r="DO27" s="61"/>
      <c r="DP27" s="61"/>
      <c r="DQ27" s="61">
        <v>1</v>
      </c>
      <c r="DR27" s="61"/>
      <c r="DS27" s="61"/>
    </row>
    <row r="28" spans="1:125" x14ac:dyDescent="0.25">
      <c r="A28" s="76" t="s">
        <v>181</v>
      </c>
      <c r="B28" s="19">
        <f t="shared" si="4"/>
        <v>3</v>
      </c>
      <c r="C28" s="14"/>
      <c r="D28" s="14"/>
      <c r="E28" s="14"/>
      <c r="F28" s="14"/>
      <c r="G28" s="14"/>
      <c r="H28" s="14"/>
      <c r="I28" s="14"/>
      <c r="J28" s="14"/>
      <c r="K28" s="15"/>
      <c r="L28" s="15"/>
      <c r="M28" s="15"/>
      <c r="N28" s="15"/>
      <c r="O28" s="15"/>
      <c r="P28" s="15"/>
      <c r="Q28" s="16"/>
      <c r="R28" s="16"/>
      <c r="S28" s="16"/>
      <c r="T28" s="17"/>
      <c r="U28" s="17"/>
      <c r="V28" s="17"/>
      <c r="W28" s="18"/>
      <c r="X28" s="18"/>
      <c r="Y28" s="18"/>
      <c r="Z28" s="21"/>
      <c r="AA28" s="25"/>
      <c r="AB28" s="25"/>
      <c r="AC28" s="25"/>
      <c r="AD28" s="25"/>
      <c r="AE28" s="27"/>
      <c r="AF28" s="51"/>
      <c r="AG28" s="51"/>
      <c r="AH28" s="51"/>
      <c r="AI28" s="51"/>
      <c r="AJ28" s="51"/>
      <c r="AK28" s="51"/>
      <c r="AL28" s="52">
        <v>1</v>
      </c>
      <c r="AM28" s="51"/>
      <c r="AN28" s="90">
        <v>1</v>
      </c>
      <c r="AO28" s="51"/>
      <c r="AP28" s="51"/>
      <c r="AQ28" s="51"/>
      <c r="AR28" s="51"/>
      <c r="AS28" s="51"/>
      <c r="AT28" s="51"/>
      <c r="AU28" s="51"/>
      <c r="AV28" s="51"/>
      <c r="AW28" s="52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54"/>
      <c r="BP28" s="54"/>
      <c r="BQ28" s="54"/>
      <c r="BR28" s="54"/>
      <c r="BS28" s="54"/>
      <c r="BT28" s="54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6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9"/>
      <c r="DG28" s="59"/>
      <c r="DH28" s="59"/>
      <c r="DI28" s="59"/>
      <c r="DJ28" s="59"/>
      <c r="DK28" s="59"/>
      <c r="DL28" s="60"/>
      <c r="DM28" s="61"/>
      <c r="DN28" s="61"/>
      <c r="DO28" s="61"/>
      <c r="DP28" s="61"/>
      <c r="DQ28" s="61">
        <v>1</v>
      </c>
      <c r="DR28" s="61"/>
      <c r="DS28" s="61"/>
    </row>
    <row r="29" spans="1:125" x14ac:dyDescent="0.25">
      <c r="A29" s="76" t="s">
        <v>4</v>
      </c>
      <c r="B29" s="19">
        <f t="shared" si="4"/>
        <v>3</v>
      </c>
      <c r="C29" s="14"/>
      <c r="D29" s="14"/>
      <c r="E29" s="14"/>
      <c r="F29" s="14"/>
      <c r="G29" s="14"/>
      <c r="H29" s="14"/>
      <c r="I29" s="14"/>
      <c r="J29" s="14"/>
      <c r="K29" s="15"/>
      <c r="L29" s="15"/>
      <c r="M29" s="15"/>
      <c r="N29" s="15"/>
      <c r="O29" s="15"/>
      <c r="P29" s="15"/>
      <c r="Q29" s="16"/>
      <c r="R29" s="16"/>
      <c r="S29" s="16"/>
      <c r="T29" s="17"/>
      <c r="U29" s="17"/>
      <c r="V29" s="17"/>
      <c r="W29" s="18"/>
      <c r="X29" s="18"/>
      <c r="Y29" s="18"/>
      <c r="Z29" s="21"/>
      <c r="AA29" s="25"/>
      <c r="AB29" s="25"/>
      <c r="AC29" s="25"/>
      <c r="AD29" s="25"/>
      <c r="AE29" s="27"/>
      <c r="AF29" s="51"/>
      <c r="AG29" s="51"/>
      <c r="AH29" s="51"/>
      <c r="AI29" s="51"/>
      <c r="AJ29" s="51"/>
      <c r="AK29" s="51"/>
      <c r="AL29" s="52">
        <v>1</v>
      </c>
      <c r="AM29" s="51"/>
      <c r="AN29" s="90">
        <v>1</v>
      </c>
      <c r="AO29" s="51"/>
      <c r="AP29" s="51"/>
      <c r="AQ29" s="51"/>
      <c r="AR29" s="51"/>
      <c r="AS29" s="51"/>
      <c r="AT29" s="51"/>
      <c r="AU29" s="51"/>
      <c r="AV29" s="51"/>
      <c r="AW29" s="52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54"/>
      <c r="BP29" s="54"/>
      <c r="BQ29" s="54"/>
      <c r="BR29" s="54"/>
      <c r="BS29" s="54"/>
      <c r="BT29" s="54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6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9"/>
      <c r="DG29" s="59"/>
      <c r="DH29" s="59"/>
      <c r="DI29" s="59"/>
      <c r="DJ29" s="59"/>
      <c r="DK29" s="59"/>
      <c r="DL29" s="60"/>
      <c r="DM29" s="61"/>
      <c r="DN29" s="61"/>
      <c r="DO29" s="61"/>
      <c r="DP29" s="61">
        <v>1</v>
      </c>
      <c r="DQ29" s="61"/>
      <c r="DR29" s="61"/>
      <c r="DS29" s="61"/>
    </row>
    <row r="30" spans="1:125" x14ac:dyDescent="0.25">
      <c r="A30" s="76" t="s">
        <v>182</v>
      </c>
      <c r="B30" s="19">
        <f t="shared" si="4"/>
        <v>3</v>
      </c>
      <c r="C30" s="14"/>
      <c r="D30" s="14"/>
      <c r="E30" s="14"/>
      <c r="F30" s="14"/>
      <c r="G30" s="14"/>
      <c r="H30" s="14"/>
      <c r="I30" s="14"/>
      <c r="J30" s="14"/>
      <c r="K30" s="15"/>
      <c r="L30" s="15"/>
      <c r="M30" s="15"/>
      <c r="N30" s="15"/>
      <c r="O30" s="15"/>
      <c r="P30" s="15"/>
      <c r="Q30" s="16"/>
      <c r="R30" s="16"/>
      <c r="S30" s="16"/>
      <c r="T30" s="17"/>
      <c r="U30" s="17"/>
      <c r="V30" s="17"/>
      <c r="W30" s="18"/>
      <c r="X30" s="18"/>
      <c r="Y30" s="18"/>
      <c r="Z30" s="21"/>
      <c r="AA30" s="25"/>
      <c r="AB30" s="25"/>
      <c r="AC30" s="25"/>
      <c r="AD30" s="25"/>
      <c r="AE30" s="27"/>
      <c r="AF30" s="51"/>
      <c r="AG30" s="51"/>
      <c r="AH30" s="51"/>
      <c r="AI30" s="51"/>
      <c r="AJ30" s="51"/>
      <c r="AK30" s="51"/>
      <c r="AL30" s="52">
        <v>1</v>
      </c>
      <c r="AM30" s="51"/>
      <c r="AN30" s="90">
        <v>1</v>
      </c>
      <c r="AO30" s="51"/>
      <c r="AP30" s="51"/>
      <c r="AQ30" s="51"/>
      <c r="AR30" s="51"/>
      <c r="AS30" s="51"/>
      <c r="AT30" s="51"/>
      <c r="AU30" s="51"/>
      <c r="AV30" s="51"/>
      <c r="AW30" s="52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4"/>
      <c r="BO30" s="54"/>
      <c r="BP30" s="54"/>
      <c r="BQ30" s="54"/>
      <c r="BR30" s="54"/>
      <c r="BS30" s="54"/>
      <c r="BT30" s="54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6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9"/>
      <c r="DG30" s="59"/>
      <c r="DH30" s="59"/>
      <c r="DI30" s="59"/>
      <c r="DJ30" s="59"/>
      <c r="DK30" s="59"/>
      <c r="DL30" s="60"/>
      <c r="DM30" s="61"/>
      <c r="DN30" s="61"/>
      <c r="DO30" s="61"/>
      <c r="DP30" s="61">
        <v>1</v>
      </c>
      <c r="DQ30" s="61"/>
      <c r="DR30" s="61"/>
      <c r="DS30" s="61"/>
    </row>
    <row r="31" spans="1:125" x14ac:dyDescent="0.25">
      <c r="A31" s="83" t="s">
        <v>183</v>
      </c>
      <c r="B31" s="19">
        <f>SUM(C31:DU31)</f>
        <v>5</v>
      </c>
      <c r="C31" s="14">
        <v>1</v>
      </c>
      <c r="D31" s="14"/>
      <c r="E31" s="14"/>
      <c r="F31" s="14"/>
      <c r="G31" s="14"/>
      <c r="H31" s="14"/>
      <c r="I31" s="14">
        <v>1</v>
      </c>
      <c r="J31" s="14"/>
      <c r="K31" s="15"/>
      <c r="L31" s="15"/>
      <c r="M31" s="15"/>
      <c r="N31" s="15"/>
      <c r="O31" s="15"/>
      <c r="P31" s="15"/>
      <c r="Q31" s="16"/>
      <c r="R31" s="16"/>
      <c r="S31" s="16"/>
      <c r="T31" s="17"/>
      <c r="U31" s="17">
        <v>1</v>
      </c>
      <c r="V31" s="17"/>
      <c r="W31" s="18"/>
      <c r="X31" s="18"/>
      <c r="Y31" s="18"/>
      <c r="Z31" s="21"/>
      <c r="AA31" s="25"/>
      <c r="AB31" s="25"/>
      <c r="AC31" s="25"/>
      <c r="AD31" s="25"/>
      <c r="AE31" s="27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2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4"/>
      <c r="BO31" s="54"/>
      <c r="BP31" s="54"/>
      <c r="BQ31" s="54"/>
      <c r="BR31" s="54"/>
      <c r="BS31" s="54"/>
      <c r="BT31" s="54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6"/>
      <c r="CM31" s="57"/>
      <c r="CN31" s="57"/>
      <c r="CO31" s="57"/>
      <c r="CP31" s="57"/>
      <c r="CQ31" s="57">
        <v>1</v>
      </c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9"/>
      <c r="DG31" s="59"/>
      <c r="DH31" s="59"/>
      <c r="DI31" s="59"/>
      <c r="DJ31" s="59"/>
      <c r="DK31" s="59"/>
      <c r="DL31" s="60"/>
      <c r="DM31" s="61">
        <v>1</v>
      </c>
      <c r="DN31" s="61"/>
      <c r="DO31" s="61"/>
      <c r="DP31" s="61"/>
      <c r="DQ31" s="61"/>
      <c r="DR31" s="61"/>
      <c r="DS31" s="61"/>
    </row>
    <row r="32" spans="1:125" x14ac:dyDescent="0.25">
      <c r="A32" s="83" t="s">
        <v>184</v>
      </c>
      <c r="B32" s="19">
        <f t="shared" ref="B32:B40" si="5">SUM(C32:DU32)</f>
        <v>5</v>
      </c>
      <c r="C32" s="14">
        <v>1</v>
      </c>
      <c r="D32" s="14">
        <v>1</v>
      </c>
      <c r="E32" s="14"/>
      <c r="F32" s="14"/>
      <c r="G32" s="14"/>
      <c r="H32" s="14"/>
      <c r="I32" s="14">
        <v>1</v>
      </c>
      <c r="J32" s="14"/>
      <c r="K32" s="15"/>
      <c r="L32" s="15"/>
      <c r="M32" s="15"/>
      <c r="N32" s="15"/>
      <c r="O32" s="15"/>
      <c r="P32" s="15"/>
      <c r="Q32" s="16"/>
      <c r="R32" s="16"/>
      <c r="S32" s="16"/>
      <c r="T32" s="17"/>
      <c r="U32" s="17"/>
      <c r="V32" s="17"/>
      <c r="W32" s="18"/>
      <c r="X32" s="18"/>
      <c r="Y32" s="18"/>
      <c r="Z32" s="21"/>
      <c r="AA32" s="25"/>
      <c r="AB32" s="25"/>
      <c r="AC32" s="25"/>
      <c r="AD32" s="25"/>
      <c r="AE32" s="27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2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4"/>
      <c r="BO32" s="54"/>
      <c r="BP32" s="54"/>
      <c r="BQ32" s="54"/>
      <c r="BR32" s="54"/>
      <c r="BS32" s="54"/>
      <c r="BT32" s="54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6"/>
      <c r="CM32" s="57"/>
      <c r="CN32" s="57"/>
      <c r="CO32" s="57"/>
      <c r="CP32" s="57"/>
      <c r="CQ32" s="57">
        <v>1</v>
      </c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9"/>
      <c r="DG32" s="59"/>
      <c r="DH32" s="59"/>
      <c r="DI32" s="59"/>
      <c r="DJ32" s="59"/>
      <c r="DK32" s="59"/>
      <c r="DL32" s="60"/>
      <c r="DM32" s="61">
        <v>1</v>
      </c>
      <c r="DN32" s="61"/>
      <c r="DO32" s="61"/>
      <c r="DP32" s="61"/>
      <c r="DQ32" s="61"/>
      <c r="DR32" s="61"/>
      <c r="DS32" s="61"/>
    </row>
    <row r="33" spans="1:125" x14ac:dyDescent="0.25">
      <c r="A33" s="84" t="s">
        <v>5</v>
      </c>
      <c r="B33" s="19">
        <f t="shared" si="5"/>
        <v>2</v>
      </c>
      <c r="C33" s="14"/>
      <c r="D33" s="14"/>
      <c r="E33" s="14"/>
      <c r="F33" s="14"/>
      <c r="G33" s="14"/>
      <c r="H33" s="14"/>
      <c r="I33" s="14"/>
      <c r="J33" s="14"/>
      <c r="K33" s="15"/>
      <c r="L33" s="15"/>
      <c r="M33" s="15"/>
      <c r="N33" s="15"/>
      <c r="O33" s="15"/>
      <c r="P33" s="15"/>
      <c r="Q33" s="16"/>
      <c r="R33" s="16"/>
      <c r="S33" s="16"/>
      <c r="T33" s="17"/>
      <c r="U33" s="17"/>
      <c r="V33" s="17"/>
      <c r="W33" s="18"/>
      <c r="X33" s="18"/>
      <c r="Y33" s="18"/>
      <c r="Z33" s="21"/>
      <c r="AA33" s="25"/>
      <c r="AB33" s="25"/>
      <c r="AC33" s="25"/>
      <c r="AD33" s="25"/>
      <c r="AE33" s="27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2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4"/>
      <c r="BO33" s="54"/>
      <c r="BP33" s="54"/>
      <c r="BQ33" s="54"/>
      <c r="BR33" s="54"/>
      <c r="BS33" s="54"/>
      <c r="BT33" s="54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6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9"/>
      <c r="DG33" s="59"/>
      <c r="DH33" s="59"/>
      <c r="DI33" s="59"/>
      <c r="DJ33" s="59"/>
      <c r="DK33" s="59"/>
      <c r="DL33" s="60"/>
      <c r="DM33" s="61"/>
      <c r="DN33" s="61"/>
      <c r="DO33" s="61"/>
      <c r="DP33" s="61"/>
      <c r="DQ33" s="61"/>
      <c r="DR33" s="61"/>
      <c r="DS33" s="61"/>
      <c r="DU33">
        <v>2</v>
      </c>
    </row>
    <row r="34" spans="1:125" x14ac:dyDescent="0.25">
      <c r="A34" s="85" t="s">
        <v>6</v>
      </c>
      <c r="B34" s="19">
        <f t="shared" si="5"/>
        <v>7</v>
      </c>
      <c r="C34" s="14">
        <v>3</v>
      </c>
      <c r="D34" s="14"/>
      <c r="E34" s="14"/>
      <c r="F34" s="14">
        <v>-2</v>
      </c>
      <c r="G34" s="14"/>
      <c r="H34" s="14"/>
      <c r="I34" s="14">
        <v>2</v>
      </c>
      <c r="J34" s="14"/>
      <c r="K34" s="15"/>
      <c r="L34" s="15"/>
      <c r="M34" s="15"/>
      <c r="N34" s="15"/>
      <c r="O34" s="15"/>
      <c r="P34" s="15"/>
      <c r="Q34" s="16"/>
      <c r="R34" s="16"/>
      <c r="S34" s="16"/>
      <c r="T34" s="17"/>
      <c r="U34" s="17"/>
      <c r="V34" s="17"/>
      <c r="W34" s="18"/>
      <c r="X34" s="18"/>
      <c r="Y34" s="18"/>
      <c r="Z34" s="21"/>
      <c r="AA34" s="25"/>
      <c r="AB34" s="25"/>
      <c r="AC34" s="25"/>
      <c r="AD34" s="25"/>
      <c r="AE34" s="27"/>
      <c r="AF34" s="51"/>
      <c r="AG34" s="51"/>
      <c r="AH34" s="51"/>
      <c r="AI34" s="51">
        <v>1</v>
      </c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2">
        <v>1</v>
      </c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4"/>
      <c r="BO34" s="54"/>
      <c r="BP34" s="54"/>
      <c r="BQ34" s="54"/>
      <c r="BR34" s="54"/>
      <c r="BS34" s="54"/>
      <c r="BT34" s="54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6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9"/>
      <c r="DG34" s="59"/>
      <c r="DH34" s="59"/>
      <c r="DI34" s="59"/>
      <c r="DJ34" s="59"/>
      <c r="DK34" s="59"/>
      <c r="DL34" s="60"/>
      <c r="DM34" s="61">
        <v>2</v>
      </c>
      <c r="DN34" s="61"/>
      <c r="DO34" s="61"/>
      <c r="DP34" s="61"/>
      <c r="DQ34" s="61"/>
      <c r="DR34" s="61"/>
      <c r="DS34" s="61"/>
    </row>
    <row r="35" spans="1:125" x14ac:dyDescent="0.25">
      <c r="A35" s="89" t="s">
        <v>135</v>
      </c>
      <c r="B35" s="19">
        <f t="shared" si="5"/>
        <v>10</v>
      </c>
      <c r="C35" s="14"/>
      <c r="D35" s="14">
        <v>1</v>
      </c>
      <c r="E35" s="14">
        <v>1</v>
      </c>
      <c r="F35" s="14"/>
      <c r="G35" s="14"/>
      <c r="H35" s="14"/>
      <c r="I35" s="14"/>
      <c r="J35" s="14"/>
      <c r="K35" s="15"/>
      <c r="L35" s="15">
        <v>1</v>
      </c>
      <c r="M35" s="15">
        <v>1</v>
      </c>
      <c r="N35" s="15"/>
      <c r="O35" s="15"/>
      <c r="P35" s="15">
        <v>1</v>
      </c>
      <c r="Q35" s="16"/>
      <c r="R35" s="16"/>
      <c r="S35" s="16"/>
      <c r="T35" s="17">
        <v>1</v>
      </c>
      <c r="U35" s="17"/>
      <c r="V35" s="17"/>
      <c r="W35" s="18"/>
      <c r="X35" s="18"/>
      <c r="Y35" s="18"/>
      <c r="Z35" s="21"/>
      <c r="AA35" s="25"/>
      <c r="AB35" s="25"/>
      <c r="AC35" s="25"/>
      <c r="AD35" s="25"/>
      <c r="AE35" s="27"/>
      <c r="AF35" s="51"/>
      <c r="AG35" s="51"/>
      <c r="AH35" s="51"/>
      <c r="AI35" s="51"/>
      <c r="AJ35" s="51"/>
      <c r="AK35" s="51"/>
      <c r="AL35" s="51"/>
      <c r="AM35" s="51">
        <v>1</v>
      </c>
      <c r="AN35" s="51"/>
      <c r="AO35" s="51"/>
      <c r="AP35" s="51"/>
      <c r="AQ35" s="51"/>
      <c r="AR35" s="51">
        <v>1</v>
      </c>
      <c r="AS35" s="51"/>
      <c r="AT35" s="51"/>
      <c r="AU35" s="51"/>
      <c r="AV35" s="51"/>
      <c r="AW35" s="52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4"/>
      <c r="BO35" s="54"/>
      <c r="BP35" s="54"/>
      <c r="BQ35" s="54"/>
      <c r="BR35" s="54"/>
      <c r="BS35" s="54"/>
      <c r="BT35" s="54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6"/>
      <c r="CM35" s="57">
        <v>1</v>
      </c>
      <c r="CN35" s="57"/>
      <c r="CO35" s="57"/>
      <c r="CP35" s="57"/>
      <c r="CQ35" s="57"/>
      <c r="CR35" s="57"/>
      <c r="CS35" s="57"/>
      <c r="CT35" s="57"/>
      <c r="CU35" s="57">
        <v>1</v>
      </c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9"/>
      <c r="DG35" s="59"/>
      <c r="DH35" s="59"/>
      <c r="DI35" s="59"/>
      <c r="DJ35" s="59"/>
      <c r="DK35" s="59"/>
      <c r="DL35" s="60"/>
      <c r="DM35" s="61"/>
      <c r="DN35" s="61"/>
      <c r="DO35" s="61"/>
      <c r="DP35" s="61"/>
      <c r="DQ35" s="61"/>
      <c r="DR35" s="61"/>
      <c r="DS35" s="61"/>
    </row>
    <row r="36" spans="1:125" x14ac:dyDescent="0.25">
      <c r="A36" s="86" t="s">
        <v>7</v>
      </c>
      <c r="B36" s="19">
        <f t="shared" si="5"/>
        <v>7</v>
      </c>
      <c r="C36" s="14"/>
      <c r="D36" s="14"/>
      <c r="E36" s="14"/>
      <c r="F36" s="14"/>
      <c r="G36" s="14"/>
      <c r="H36" s="14"/>
      <c r="I36" s="14"/>
      <c r="J36" s="14"/>
      <c r="K36" s="15"/>
      <c r="L36" s="15"/>
      <c r="M36" s="15"/>
      <c r="N36" s="15"/>
      <c r="O36" s="15"/>
      <c r="P36" s="15"/>
      <c r="Q36" s="16"/>
      <c r="R36" s="16"/>
      <c r="S36" s="16"/>
      <c r="T36" s="17"/>
      <c r="U36" s="17"/>
      <c r="V36" s="17"/>
      <c r="W36" s="18"/>
      <c r="X36" s="18"/>
      <c r="Y36" s="18"/>
      <c r="Z36" s="21"/>
      <c r="AA36" s="127">
        <v>1</v>
      </c>
      <c r="AB36" s="25">
        <v>1</v>
      </c>
      <c r="AC36" s="25"/>
      <c r="AD36" s="25"/>
      <c r="AE36" s="27">
        <v>1</v>
      </c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2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4"/>
      <c r="BO36" s="54"/>
      <c r="BP36" s="54"/>
      <c r="BQ36" s="54"/>
      <c r="BR36" s="54"/>
      <c r="BS36" s="54"/>
      <c r="BT36" s="54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6"/>
      <c r="CM36" s="57"/>
      <c r="CN36" s="57"/>
      <c r="CO36" s="57"/>
      <c r="CP36" s="57"/>
      <c r="CQ36" s="57"/>
      <c r="CR36" s="57">
        <v>1</v>
      </c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8"/>
      <c r="DF36" s="59"/>
      <c r="DG36" s="59"/>
      <c r="DH36" s="59"/>
      <c r="DI36" s="59"/>
      <c r="DJ36" s="59"/>
      <c r="DK36" s="59"/>
      <c r="DL36" s="60"/>
      <c r="DM36" s="61"/>
      <c r="DN36" s="61">
        <v>1</v>
      </c>
      <c r="DO36" s="61"/>
      <c r="DP36" s="61"/>
      <c r="DQ36" s="61"/>
      <c r="DR36" s="61"/>
      <c r="DS36" s="61"/>
      <c r="DU36">
        <v>2</v>
      </c>
    </row>
    <row r="37" spans="1:125" x14ac:dyDescent="0.25">
      <c r="A37" s="81" t="s">
        <v>8</v>
      </c>
      <c r="B37" s="19">
        <f t="shared" si="5"/>
        <v>4</v>
      </c>
      <c r="C37" s="14"/>
      <c r="D37" s="14"/>
      <c r="E37" s="14"/>
      <c r="F37" s="14"/>
      <c r="G37" s="14"/>
      <c r="H37" s="14"/>
      <c r="I37" s="14"/>
      <c r="J37" s="14"/>
      <c r="K37" s="15"/>
      <c r="L37" s="15"/>
      <c r="M37" s="15"/>
      <c r="N37" s="15"/>
      <c r="O37" s="15"/>
      <c r="P37" s="15"/>
      <c r="Q37" s="16"/>
      <c r="R37" s="16"/>
      <c r="S37" s="16"/>
      <c r="T37" s="17"/>
      <c r="U37" s="17"/>
      <c r="V37" s="17"/>
      <c r="W37" s="18"/>
      <c r="X37" s="18"/>
      <c r="Y37" s="18"/>
      <c r="Z37" s="21"/>
      <c r="AA37" s="25"/>
      <c r="AB37" s="25"/>
      <c r="AC37" s="25"/>
      <c r="AD37" s="25"/>
      <c r="AE37" s="27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2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4"/>
      <c r="BO37" s="54"/>
      <c r="BP37" s="54"/>
      <c r="BQ37" s="54"/>
      <c r="BR37" s="54"/>
      <c r="BS37" s="54"/>
      <c r="BT37" s="54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6"/>
      <c r="CM37" s="57"/>
      <c r="CN37" s="57"/>
      <c r="CO37" s="57"/>
      <c r="CP37" s="57"/>
      <c r="CQ37" s="57"/>
      <c r="CR37" s="57"/>
      <c r="CS37" s="57"/>
      <c r="CT37" s="57">
        <v>1</v>
      </c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8"/>
      <c r="DF37" s="59"/>
      <c r="DG37" s="59"/>
      <c r="DH37" s="59"/>
      <c r="DI37" s="59"/>
      <c r="DJ37" s="59"/>
      <c r="DK37" s="59"/>
      <c r="DL37" s="60"/>
      <c r="DM37" s="61"/>
      <c r="DN37" s="61">
        <v>1</v>
      </c>
      <c r="DO37" s="61"/>
      <c r="DP37" s="61"/>
      <c r="DQ37" s="61"/>
      <c r="DR37" s="61"/>
      <c r="DS37" s="61"/>
      <c r="DU37">
        <v>2</v>
      </c>
    </row>
    <row r="38" spans="1:125" x14ac:dyDescent="0.25">
      <c r="A38" t="s">
        <v>9</v>
      </c>
      <c r="B38" s="19">
        <f t="shared" si="5"/>
        <v>4</v>
      </c>
      <c r="C38" s="14"/>
      <c r="D38" s="14"/>
      <c r="E38" s="14"/>
      <c r="F38" s="14"/>
      <c r="G38" s="14"/>
      <c r="H38" s="14"/>
      <c r="I38" s="14"/>
      <c r="J38" s="14"/>
      <c r="K38" s="15"/>
      <c r="L38" s="15"/>
      <c r="M38" s="15"/>
      <c r="N38" s="15"/>
      <c r="O38" s="15"/>
      <c r="P38" s="15"/>
      <c r="Q38" s="16"/>
      <c r="R38" s="16"/>
      <c r="S38" s="16"/>
      <c r="T38" s="17"/>
      <c r="U38" s="17"/>
      <c r="V38" s="17"/>
      <c r="W38" s="18"/>
      <c r="X38" s="18"/>
      <c r="Y38" s="18"/>
      <c r="Z38" s="21"/>
      <c r="AA38" s="25"/>
      <c r="AB38" s="25"/>
      <c r="AC38" s="25"/>
      <c r="AD38" s="25"/>
      <c r="AE38" s="27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>
        <v>1</v>
      </c>
      <c r="AQ38" s="51"/>
      <c r="AR38" s="51"/>
      <c r="AS38" s="51"/>
      <c r="AT38" s="51"/>
      <c r="AU38" s="51"/>
      <c r="AV38" s="51"/>
      <c r="AW38" s="52">
        <v>1</v>
      </c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4"/>
      <c r="BO38" s="54"/>
      <c r="BP38" s="54"/>
      <c r="BQ38" s="54"/>
      <c r="BR38" s="54"/>
      <c r="BS38" s="54"/>
      <c r="BT38" s="54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6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8"/>
      <c r="DF38" s="59"/>
      <c r="DG38" s="59"/>
      <c r="DH38" s="59"/>
      <c r="DI38" s="59"/>
      <c r="DJ38" s="59">
        <v>2</v>
      </c>
      <c r="DK38" s="59"/>
      <c r="DL38" s="60"/>
      <c r="DM38" s="61"/>
      <c r="DN38" s="61"/>
      <c r="DO38" s="61"/>
      <c r="DP38" s="61"/>
      <c r="DQ38" s="61"/>
      <c r="DR38" s="61"/>
      <c r="DS38" s="61"/>
    </row>
    <row r="39" spans="1:125" x14ac:dyDescent="0.25">
      <c r="A39" s="87" t="s">
        <v>10</v>
      </c>
      <c r="B39" s="19">
        <f t="shared" si="5"/>
        <v>6</v>
      </c>
      <c r="C39" s="14"/>
      <c r="D39" s="14">
        <v>1</v>
      </c>
      <c r="E39" s="14"/>
      <c r="F39" s="14"/>
      <c r="G39" s="14">
        <v>1</v>
      </c>
      <c r="H39" s="14"/>
      <c r="I39" s="14"/>
      <c r="J39" s="14"/>
      <c r="K39" s="15"/>
      <c r="L39" s="15">
        <v>1</v>
      </c>
      <c r="M39" s="15">
        <v>1</v>
      </c>
      <c r="N39" s="15"/>
      <c r="O39" s="15"/>
      <c r="P39" s="15"/>
      <c r="Q39" s="16"/>
      <c r="R39" s="16"/>
      <c r="S39" s="16"/>
      <c r="T39" s="17"/>
      <c r="U39" s="17"/>
      <c r="V39" s="17"/>
      <c r="W39" s="18"/>
      <c r="X39" s="18"/>
      <c r="Y39" s="18"/>
      <c r="Z39" s="21"/>
      <c r="AA39" s="25"/>
      <c r="AB39" s="25"/>
      <c r="AC39" s="25"/>
      <c r="AD39" s="25"/>
      <c r="AE39" s="27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2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4"/>
      <c r="BO39" s="54"/>
      <c r="BP39" s="54"/>
      <c r="BQ39" s="54"/>
      <c r="BR39" s="54"/>
      <c r="BS39" s="54"/>
      <c r="BT39" s="54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6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8"/>
      <c r="DF39" s="59"/>
      <c r="DG39" s="59"/>
      <c r="DH39" s="59"/>
      <c r="DI39" s="59"/>
      <c r="DJ39" s="59"/>
      <c r="DK39" s="59"/>
      <c r="DL39" s="60"/>
      <c r="DM39" s="61"/>
      <c r="DN39" s="61"/>
      <c r="DO39" s="61"/>
      <c r="DP39" s="61"/>
      <c r="DQ39" s="61"/>
      <c r="DR39" s="61"/>
      <c r="DS39" s="61"/>
      <c r="DU39">
        <v>2</v>
      </c>
    </row>
    <row r="40" spans="1:125" s="8" customFormat="1" x14ac:dyDescent="0.25">
      <c r="A40" s="88" t="s">
        <v>11</v>
      </c>
      <c r="B40" s="19">
        <f t="shared" si="5"/>
        <v>12</v>
      </c>
      <c r="C40" s="14"/>
      <c r="D40" s="14">
        <v>1</v>
      </c>
      <c r="E40" s="14"/>
      <c r="F40" s="14"/>
      <c r="G40" s="14"/>
      <c r="H40" s="14"/>
      <c r="I40" s="14"/>
      <c r="J40" s="14"/>
      <c r="K40" s="15">
        <v>1</v>
      </c>
      <c r="L40" s="15"/>
      <c r="M40" s="15"/>
      <c r="N40" s="15"/>
      <c r="O40" s="15"/>
      <c r="P40" s="15"/>
      <c r="Q40" s="16"/>
      <c r="R40" s="16">
        <v>1</v>
      </c>
      <c r="S40" s="16"/>
      <c r="T40" s="17"/>
      <c r="U40" s="17"/>
      <c r="V40" s="17">
        <v>1</v>
      </c>
      <c r="W40" s="18"/>
      <c r="X40" s="18"/>
      <c r="Y40" s="18"/>
      <c r="Z40" s="21"/>
      <c r="AA40" s="25">
        <v>1</v>
      </c>
      <c r="AB40" s="25"/>
      <c r="AC40" s="25"/>
      <c r="AD40" s="25"/>
      <c r="AE40" s="27"/>
      <c r="AF40" s="51">
        <v>1</v>
      </c>
      <c r="AG40" s="51">
        <v>1</v>
      </c>
      <c r="AH40" s="51"/>
      <c r="AI40" s="51"/>
      <c r="AJ40" s="51"/>
      <c r="AK40" s="51"/>
      <c r="AL40" s="51"/>
      <c r="AM40" s="51"/>
      <c r="AN40" s="51"/>
      <c r="AO40" s="51"/>
      <c r="AP40" s="51"/>
      <c r="AQ40" s="51">
        <v>1</v>
      </c>
      <c r="AR40" s="51"/>
      <c r="AS40" s="51"/>
      <c r="AT40" s="51">
        <v>1</v>
      </c>
      <c r="AU40" s="51"/>
      <c r="AV40" s="51"/>
      <c r="AW40" s="52">
        <v>1</v>
      </c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4"/>
      <c r="BO40" s="54"/>
      <c r="BP40" s="54"/>
      <c r="BQ40" s="54"/>
      <c r="BR40" s="54"/>
      <c r="BS40" s="54"/>
      <c r="BT40" s="54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6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8"/>
      <c r="DF40" s="59"/>
      <c r="DG40" s="59"/>
      <c r="DH40" s="59"/>
      <c r="DI40" s="59"/>
      <c r="DJ40" s="59"/>
      <c r="DK40" s="59"/>
      <c r="DL40" s="60"/>
      <c r="DM40" s="61"/>
      <c r="DN40" s="61"/>
      <c r="DO40" s="61"/>
      <c r="DP40" s="61"/>
      <c r="DQ40" s="61"/>
      <c r="DR40" s="61"/>
      <c r="DS40" s="61"/>
      <c r="DU40" s="8">
        <v>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S14"/>
  <sheetViews>
    <sheetView workbookViewId="0">
      <selection activeCell="D2" sqref="D2:F2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9" customWidth="1"/>
    <col min="4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66" width="3.7109375" style="42" bestFit="1" customWidth="1"/>
    <col min="67" max="67" width="3.7109375" style="42" customWidth="1"/>
    <col min="68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</cols>
  <sheetData>
    <row r="1" spans="1:123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</row>
    <row r="2" spans="1:123" x14ac:dyDescent="0.25">
      <c r="A2" t="s">
        <v>136</v>
      </c>
      <c r="B2">
        <f>SUM(C2:DS2)</f>
        <v>16</v>
      </c>
      <c r="C2" s="62">
        <v>1</v>
      </c>
      <c r="D2" s="62">
        <v>1</v>
      </c>
      <c r="E2" s="62"/>
      <c r="F2" s="62"/>
      <c r="G2" s="62"/>
      <c r="H2" s="62"/>
      <c r="I2" s="62">
        <v>1</v>
      </c>
      <c r="J2" s="62"/>
      <c r="K2" s="63"/>
      <c r="L2" s="63"/>
      <c r="M2" s="63"/>
      <c r="N2" s="63"/>
      <c r="O2" s="63"/>
      <c r="P2" s="63"/>
      <c r="Q2" s="64"/>
      <c r="R2" s="64"/>
      <c r="S2" s="64"/>
      <c r="T2" s="65"/>
      <c r="U2" s="65"/>
      <c r="V2" s="65"/>
      <c r="W2" s="66"/>
      <c r="X2" s="66"/>
      <c r="Y2" s="66"/>
      <c r="Z2" s="66"/>
      <c r="AA2" s="67"/>
      <c r="AB2" s="67"/>
      <c r="AC2" s="67"/>
      <c r="AD2" s="67"/>
      <c r="AE2" s="67"/>
      <c r="AF2" s="68">
        <v>1</v>
      </c>
      <c r="AG2" s="68">
        <v>1</v>
      </c>
      <c r="AH2" s="68">
        <v>1</v>
      </c>
      <c r="AI2" s="68">
        <v>1</v>
      </c>
      <c r="AJ2" s="68">
        <v>1</v>
      </c>
      <c r="AK2" s="68">
        <v>1</v>
      </c>
      <c r="AL2" s="68"/>
      <c r="AM2" s="68"/>
      <c r="AN2" s="68"/>
      <c r="AO2" s="68"/>
      <c r="AP2" s="68"/>
      <c r="AQ2" s="68"/>
      <c r="AR2" s="68"/>
      <c r="AS2" s="68"/>
      <c r="AT2" s="68">
        <v>1</v>
      </c>
      <c r="AU2" s="68">
        <v>1</v>
      </c>
      <c r="AV2" s="68">
        <v>1</v>
      </c>
      <c r="AW2" s="68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70">
        <v>1</v>
      </c>
      <c r="BV2" s="70">
        <v>1</v>
      </c>
      <c r="BW2" s="70">
        <v>1</v>
      </c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2"/>
      <c r="DG2" s="72"/>
      <c r="DH2" s="72"/>
      <c r="DI2" s="72"/>
      <c r="DJ2" s="72"/>
      <c r="DK2" s="72"/>
      <c r="DL2" s="72"/>
      <c r="DM2" s="73">
        <v>1</v>
      </c>
      <c r="DN2" s="73"/>
      <c r="DO2" s="73"/>
      <c r="DP2" s="73"/>
      <c r="DQ2" s="73"/>
      <c r="DR2" s="73"/>
      <c r="DS2" s="73"/>
    </row>
    <row r="3" spans="1:123" x14ac:dyDescent="0.25">
      <c r="A3" t="s">
        <v>137</v>
      </c>
      <c r="B3">
        <f t="shared" ref="B3:B14" si="0">SUM(C3:DS3)</f>
        <v>14</v>
      </c>
      <c r="C3" s="62"/>
      <c r="D3" s="62"/>
      <c r="E3" s="62"/>
      <c r="F3" s="62"/>
      <c r="G3" s="62">
        <v>1</v>
      </c>
      <c r="H3" s="62"/>
      <c r="I3" s="62"/>
      <c r="J3" s="62"/>
      <c r="K3" s="63"/>
      <c r="L3" s="63"/>
      <c r="M3" s="63"/>
      <c r="N3" s="63">
        <v>1</v>
      </c>
      <c r="O3" s="63"/>
      <c r="P3" s="63"/>
      <c r="Q3" s="64"/>
      <c r="R3" s="64"/>
      <c r="S3" s="64"/>
      <c r="T3" s="65"/>
      <c r="U3" s="65">
        <v>1</v>
      </c>
      <c r="V3" s="65"/>
      <c r="W3" s="66"/>
      <c r="X3" s="66"/>
      <c r="Y3" s="66"/>
      <c r="Z3" s="66"/>
      <c r="AA3" s="67"/>
      <c r="AB3" s="67"/>
      <c r="AC3" s="67"/>
      <c r="AD3" s="67"/>
      <c r="AE3" s="67"/>
      <c r="AF3" s="68"/>
      <c r="AG3" s="68"/>
      <c r="AH3" s="68"/>
      <c r="AI3" s="68"/>
      <c r="AJ3" s="68"/>
      <c r="AK3" s="68"/>
      <c r="AL3" s="68">
        <v>1</v>
      </c>
      <c r="AM3" s="68">
        <v>1</v>
      </c>
      <c r="AN3" s="68"/>
      <c r="AO3" s="68">
        <v>1</v>
      </c>
      <c r="AP3" s="68"/>
      <c r="AQ3" s="68"/>
      <c r="AR3" s="68"/>
      <c r="AS3" s="68"/>
      <c r="AT3" s="68">
        <v>1</v>
      </c>
      <c r="AU3" s="68"/>
      <c r="AV3" s="68"/>
      <c r="AW3" s="68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70"/>
      <c r="BV3" s="70"/>
      <c r="BW3" s="70"/>
      <c r="BX3" s="70">
        <v>1</v>
      </c>
      <c r="BY3" s="70">
        <v>1</v>
      </c>
      <c r="BZ3" s="70">
        <v>1</v>
      </c>
      <c r="CA3" s="70"/>
      <c r="CB3" s="70"/>
      <c r="CC3" s="70"/>
      <c r="CD3" s="70"/>
      <c r="CE3" s="70"/>
      <c r="CF3" s="70"/>
      <c r="CG3" s="70"/>
      <c r="CH3" s="70"/>
      <c r="CI3" s="70"/>
      <c r="CJ3" s="70"/>
      <c r="CK3" s="70"/>
      <c r="CL3" s="70"/>
      <c r="CM3" s="71"/>
      <c r="CN3" s="71"/>
      <c r="CO3" s="71"/>
      <c r="CP3" s="71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>
        <v>1</v>
      </c>
      <c r="DF3" s="72"/>
      <c r="DG3" s="72">
        <v>1</v>
      </c>
      <c r="DH3" s="72"/>
      <c r="DI3" s="72"/>
      <c r="DJ3" s="72"/>
      <c r="DK3" s="72"/>
      <c r="DL3" s="72">
        <v>1</v>
      </c>
      <c r="DM3" s="73"/>
      <c r="DN3" s="73"/>
      <c r="DO3" s="73"/>
      <c r="DP3" s="73"/>
      <c r="DQ3" s="73"/>
      <c r="DR3" s="73">
        <v>1</v>
      </c>
      <c r="DS3" s="73"/>
    </row>
    <row r="4" spans="1:123" x14ac:dyDescent="0.25">
      <c r="A4" t="s">
        <v>138</v>
      </c>
      <c r="B4">
        <f t="shared" si="0"/>
        <v>15</v>
      </c>
      <c r="C4" s="62"/>
      <c r="D4" s="62"/>
      <c r="E4" s="62"/>
      <c r="F4" s="62">
        <v>1</v>
      </c>
      <c r="G4" s="62"/>
      <c r="H4" s="62"/>
      <c r="I4" s="62"/>
      <c r="J4" s="62">
        <v>1</v>
      </c>
      <c r="K4" s="63"/>
      <c r="L4" s="63"/>
      <c r="M4" s="63"/>
      <c r="N4" s="63"/>
      <c r="O4" s="63"/>
      <c r="P4" s="63"/>
      <c r="Q4" s="64"/>
      <c r="R4" s="64"/>
      <c r="S4" s="64"/>
      <c r="T4" s="65"/>
      <c r="U4" s="65"/>
      <c r="V4" s="65"/>
      <c r="W4" s="66"/>
      <c r="X4" s="66"/>
      <c r="Y4" s="66"/>
      <c r="Z4" s="66"/>
      <c r="AA4" s="67"/>
      <c r="AB4" s="67"/>
      <c r="AC4" s="67">
        <v>1</v>
      </c>
      <c r="AD4" s="67"/>
      <c r="AE4" s="67"/>
      <c r="AF4" s="68"/>
      <c r="AG4" s="68"/>
      <c r="AH4" s="68">
        <v>1</v>
      </c>
      <c r="AI4" s="68"/>
      <c r="AJ4" s="68">
        <v>1</v>
      </c>
      <c r="AK4" s="68"/>
      <c r="AL4" s="68"/>
      <c r="AM4" s="68"/>
      <c r="AN4" s="68"/>
      <c r="AO4" s="68"/>
      <c r="AP4" s="68"/>
      <c r="AQ4" s="68"/>
      <c r="AR4" s="68"/>
      <c r="AS4" s="68">
        <v>1</v>
      </c>
      <c r="AT4" s="68"/>
      <c r="AU4" s="68"/>
      <c r="AV4" s="68">
        <v>1</v>
      </c>
      <c r="AW4" s="68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>
        <v>1</v>
      </c>
      <c r="BK4" s="69">
        <v>1</v>
      </c>
      <c r="BL4" s="69">
        <v>1</v>
      </c>
      <c r="BM4" s="69">
        <v>1</v>
      </c>
      <c r="BN4" s="69"/>
      <c r="BO4" s="69"/>
      <c r="BP4" s="69"/>
      <c r="BQ4" s="69"/>
      <c r="BR4" s="69"/>
      <c r="BS4" s="69"/>
      <c r="BT4" s="69"/>
      <c r="BU4" s="70"/>
      <c r="BV4" s="70"/>
      <c r="BW4" s="70"/>
      <c r="BX4" s="70"/>
      <c r="BY4" s="70"/>
      <c r="BZ4" s="70"/>
      <c r="CA4" s="70"/>
      <c r="CB4" s="70"/>
      <c r="CC4" s="70"/>
      <c r="CD4" s="70"/>
      <c r="CE4" s="70"/>
      <c r="CF4" s="70"/>
      <c r="CG4" s="70"/>
      <c r="CH4" s="70"/>
      <c r="CI4" s="70"/>
      <c r="CJ4" s="70"/>
      <c r="CK4" s="70"/>
      <c r="CL4" s="70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2"/>
      <c r="DG4" s="72"/>
      <c r="DH4" s="72"/>
      <c r="DI4" s="72"/>
      <c r="DJ4" s="72"/>
      <c r="DK4" s="72">
        <v>1</v>
      </c>
      <c r="DL4" s="72"/>
      <c r="DM4" s="73"/>
      <c r="DN4" s="73"/>
      <c r="DO4" s="73">
        <v>1</v>
      </c>
      <c r="DP4" s="73">
        <v>1</v>
      </c>
      <c r="DQ4" s="73"/>
      <c r="DR4" s="73">
        <v>1</v>
      </c>
      <c r="DS4" s="73"/>
    </row>
    <row r="5" spans="1:123" x14ac:dyDescent="0.25">
      <c r="A5" t="s">
        <v>139</v>
      </c>
      <c r="B5">
        <f t="shared" si="0"/>
        <v>16</v>
      </c>
      <c r="C5" s="62"/>
      <c r="D5" s="62"/>
      <c r="E5" s="62">
        <v>1</v>
      </c>
      <c r="F5" s="62"/>
      <c r="G5" s="62"/>
      <c r="H5" s="62">
        <v>1</v>
      </c>
      <c r="I5" s="62"/>
      <c r="J5" s="62">
        <v>1</v>
      </c>
      <c r="K5" s="63"/>
      <c r="L5" s="63"/>
      <c r="M5" s="63"/>
      <c r="N5" s="63"/>
      <c r="O5" s="63"/>
      <c r="P5" s="63"/>
      <c r="Q5" s="64"/>
      <c r="R5" s="64">
        <v>1</v>
      </c>
      <c r="S5" s="64"/>
      <c r="T5" s="65"/>
      <c r="U5" s="65"/>
      <c r="V5" s="65"/>
      <c r="W5" s="66"/>
      <c r="X5" s="66"/>
      <c r="Y5" s="66"/>
      <c r="Z5" s="66">
        <v>1</v>
      </c>
      <c r="AA5" s="67">
        <v>1</v>
      </c>
      <c r="AB5" s="67"/>
      <c r="AC5" s="67"/>
      <c r="AD5" s="67"/>
      <c r="AE5" s="67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>
        <v>1</v>
      </c>
      <c r="AQ5" s="68">
        <v>1</v>
      </c>
      <c r="AR5" s="68"/>
      <c r="AS5" s="68"/>
      <c r="AT5" s="68"/>
      <c r="AU5" s="68"/>
      <c r="AV5" s="68"/>
      <c r="AW5" s="68"/>
      <c r="AX5" s="69">
        <v>1</v>
      </c>
      <c r="AY5" s="69">
        <v>1</v>
      </c>
      <c r="AZ5" s="69">
        <v>1</v>
      </c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70"/>
      <c r="CH5" s="70"/>
      <c r="CI5" s="70"/>
      <c r="CJ5" s="70"/>
      <c r="CK5" s="70"/>
      <c r="CL5" s="70"/>
      <c r="CM5" s="71">
        <v>1</v>
      </c>
      <c r="CN5" s="71"/>
      <c r="CO5" s="71"/>
      <c r="CP5" s="71"/>
      <c r="CQ5" s="71">
        <v>1</v>
      </c>
      <c r="CR5" s="71">
        <v>1</v>
      </c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2"/>
      <c r="DG5" s="72"/>
      <c r="DH5" s="72"/>
      <c r="DI5" s="72"/>
      <c r="DJ5" s="72"/>
      <c r="DK5" s="72">
        <v>1</v>
      </c>
      <c r="DL5" s="72"/>
      <c r="DM5" s="73"/>
      <c r="DN5" s="73">
        <v>1</v>
      </c>
      <c r="DO5" s="73"/>
      <c r="DP5" s="73"/>
      <c r="DQ5" s="73"/>
      <c r="DR5" s="73"/>
      <c r="DS5" s="73"/>
    </row>
    <row r="6" spans="1:123" x14ac:dyDescent="0.25">
      <c r="A6" t="s">
        <v>140</v>
      </c>
      <c r="B6">
        <f t="shared" si="0"/>
        <v>15</v>
      </c>
      <c r="C6" s="62"/>
      <c r="D6" s="62"/>
      <c r="E6" s="62">
        <v>1</v>
      </c>
      <c r="F6" s="62"/>
      <c r="G6" s="62"/>
      <c r="H6" s="62"/>
      <c r="I6" s="62"/>
      <c r="J6" s="62">
        <v>1</v>
      </c>
      <c r="K6" s="63"/>
      <c r="L6" s="63"/>
      <c r="M6" s="63"/>
      <c r="N6" s="63"/>
      <c r="O6" s="63"/>
      <c r="P6" s="63"/>
      <c r="Q6" s="64"/>
      <c r="R6" s="64"/>
      <c r="S6" s="64"/>
      <c r="T6" s="65"/>
      <c r="U6" s="65"/>
      <c r="V6" s="65">
        <v>1</v>
      </c>
      <c r="W6" s="66"/>
      <c r="X6" s="66"/>
      <c r="Y6" s="66"/>
      <c r="Z6" s="66">
        <v>1</v>
      </c>
      <c r="AA6" s="67"/>
      <c r="AB6" s="67"/>
      <c r="AC6" s="67"/>
      <c r="AD6" s="67"/>
      <c r="AE6" s="67">
        <v>1</v>
      </c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>
        <v>1</v>
      </c>
      <c r="AQ6" s="68"/>
      <c r="AR6" s="68">
        <v>1</v>
      </c>
      <c r="AS6" s="68"/>
      <c r="AT6" s="68"/>
      <c r="AU6" s="68"/>
      <c r="AV6" s="68"/>
      <c r="AW6" s="68"/>
      <c r="AX6" s="69"/>
      <c r="AY6" s="69"/>
      <c r="AZ6" s="69"/>
      <c r="BA6" s="69"/>
      <c r="BB6" s="69"/>
      <c r="BC6" s="69">
        <v>1</v>
      </c>
      <c r="BD6" s="69">
        <v>1</v>
      </c>
      <c r="BE6" s="69"/>
      <c r="BF6" s="69">
        <v>1</v>
      </c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  <c r="CF6" s="70"/>
      <c r="CG6" s="70"/>
      <c r="CH6" s="70"/>
      <c r="CI6" s="70"/>
      <c r="CJ6" s="70"/>
      <c r="CK6" s="70"/>
      <c r="CL6" s="70"/>
      <c r="CM6" s="71">
        <v>1</v>
      </c>
      <c r="CN6" s="71"/>
      <c r="CO6" s="71"/>
      <c r="CP6" s="71"/>
      <c r="CQ6" s="71">
        <v>1</v>
      </c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2"/>
      <c r="DG6" s="72"/>
      <c r="DH6" s="72">
        <v>1</v>
      </c>
      <c r="DI6" s="72"/>
      <c r="DJ6" s="72"/>
      <c r="DK6" s="72">
        <v>1</v>
      </c>
      <c r="DL6" s="72"/>
      <c r="DM6" s="73"/>
      <c r="DN6" s="73"/>
      <c r="DO6" s="73"/>
      <c r="DP6" s="73"/>
      <c r="DQ6" s="73">
        <v>1</v>
      </c>
      <c r="DR6" s="73"/>
      <c r="DS6" s="73"/>
    </row>
    <row r="7" spans="1:123" x14ac:dyDescent="0.25">
      <c r="A7" t="s">
        <v>141</v>
      </c>
      <c r="B7">
        <f t="shared" si="0"/>
        <v>13</v>
      </c>
      <c r="C7" s="62"/>
      <c r="D7" s="62"/>
      <c r="E7" s="62"/>
      <c r="F7" s="62">
        <v>1</v>
      </c>
      <c r="G7" s="62"/>
      <c r="H7" s="62">
        <v>1</v>
      </c>
      <c r="I7" s="62"/>
      <c r="J7" s="62">
        <v>1</v>
      </c>
      <c r="K7" s="63"/>
      <c r="L7" s="63"/>
      <c r="M7" s="63"/>
      <c r="N7" s="63"/>
      <c r="O7" s="63"/>
      <c r="P7" s="63"/>
      <c r="Q7" s="64"/>
      <c r="R7" s="64"/>
      <c r="S7" s="64"/>
      <c r="T7" s="65"/>
      <c r="U7" s="65"/>
      <c r="V7" s="65"/>
      <c r="W7" s="66"/>
      <c r="X7" s="66"/>
      <c r="Y7" s="66"/>
      <c r="Z7" s="66">
        <v>1</v>
      </c>
      <c r="AA7" s="67"/>
      <c r="AB7" s="67">
        <v>1</v>
      </c>
      <c r="AC7" s="67"/>
      <c r="AD7" s="67"/>
      <c r="AE7" s="67"/>
      <c r="AH7" s="68">
        <v>1</v>
      </c>
      <c r="AJ7" s="68"/>
      <c r="AK7" s="68"/>
      <c r="AL7" s="68"/>
      <c r="AM7" s="68"/>
      <c r="AN7" s="68"/>
      <c r="AO7" s="68"/>
      <c r="AP7" s="68">
        <v>1</v>
      </c>
      <c r="AQ7" s="68"/>
      <c r="AR7" s="68">
        <v>1</v>
      </c>
      <c r="AS7" s="68"/>
      <c r="AT7" s="68"/>
      <c r="AU7" s="68"/>
      <c r="AW7" s="68"/>
      <c r="AX7" s="69"/>
      <c r="AY7" s="69"/>
      <c r="AZ7" s="69"/>
      <c r="BA7" s="69"/>
      <c r="BB7" s="69"/>
      <c r="BC7" s="69"/>
      <c r="BD7" s="69"/>
      <c r="BE7" s="69"/>
      <c r="BF7" s="69">
        <v>1</v>
      </c>
      <c r="BG7" s="69"/>
      <c r="BH7" s="69"/>
      <c r="BI7" s="69"/>
      <c r="BJ7" s="69"/>
      <c r="BK7" s="69"/>
      <c r="BL7" s="69"/>
      <c r="BM7" s="69"/>
      <c r="BN7" s="69">
        <v>1</v>
      </c>
      <c r="BP7" s="69"/>
      <c r="BQ7" s="69"/>
      <c r="BR7" s="69"/>
      <c r="BS7" s="69"/>
      <c r="BT7" s="69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1"/>
      <c r="CN7" s="71"/>
      <c r="CO7" s="71"/>
      <c r="CP7" s="71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2"/>
      <c r="DG7" s="72"/>
      <c r="DH7" s="72"/>
      <c r="DI7" s="72">
        <v>1</v>
      </c>
      <c r="DJ7" s="72"/>
      <c r="DK7" s="72">
        <v>1</v>
      </c>
      <c r="DL7" s="72"/>
      <c r="DM7" s="73"/>
      <c r="DN7" s="73"/>
      <c r="DO7" s="73"/>
      <c r="DP7" s="73"/>
      <c r="DQ7" s="73"/>
      <c r="DR7" s="73"/>
      <c r="DS7" s="73">
        <v>1</v>
      </c>
    </row>
    <row r="8" spans="1:123" x14ac:dyDescent="0.25">
      <c r="A8" t="s">
        <v>142</v>
      </c>
      <c r="B8">
        <f t="shared" si="0"/>
        <v>13</v>
      </c>
      <c r="C8" s="62"/>
      <c r="D8" s="62"/>
      <c r="E8" s="62"/>
      <c r="F8" s="62"/>
      <c r="G8" s="62"/>
      <c r="H8" s="62"/>
      <c r="I8" s="62">
        <v>1</v>
      </c>
      <c r="J8" s="62"/>
      <c r="K8" s="63"/>
      <c r="L8" s="63"/>
      <c r="M8" s="63"/>
      <c r="N8" s="63"/>
      <c r="O8" s="63"/>
      <c r="P8" s="63"/>
      <c r="Q8" s="64"/>
      <c r="R8" s="64"/>
      <c r="S8" s="64"/>
      <c r="T8" s="65"/>
      <c r="U8" s="65"/>
      <c r="V8" s="65"/>
      <c r="W8" s="66"/>
      <c r="X8" s="66"/>
      <c r="Y8" s="66"/>
      <c r="Z8" s="66">
        <v>1</v>
      </c>
      <c r="AA8" s="67"/>
      <c r="AB8" s="67"/>
      <c r="AC8" s="67"/>
      <c r="AD8" s="67"/>
      <c r="AE8" s="67"/>
      <c r="AF8" s="68">
        <v>1</v>
      </c>
      <c r="AG8" s="68">
        <v>1</v>
      </c>
      <c r="AH8" s="68">
        <v>1</v>
      </c>
      <c r="AI8" s="68">
        <v>1</v>
      </c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>
        <v>1</v>
      </c>
      <c r="AW8" s="68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>
        <v>1</v>
      </c>
      <c r="BP8" s="69"/>
      <c r="BQ8" s="69"/>
      <c r="BR8" s="69"/>
      <c r="BS8" s="69"/>
      <c r="BT8" s="69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>
        <v>1</v>
      </c>
      <c r="CG8" s="70">
        <v>1</v>
      </c>
      <c r="CH8" s="70"/>
      <c r="CI8" s="70"/>
      <c r="CJ8" s="70"/>
      <c r="CK8" s="70"/>
      <c r="CL8" s="70"/>
      <c r="CM8" s="71"/>
      <c r="CN8" s="71"/>
      <c r="CO8" s="71"/>
      <c r="CP8" s="71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2">
        <v>1</v>
      </c>
      <c r="DG8" s="72"/>
      <c r="DH8" s="72"/>
      <c r="DI8" s="72">
        <v>1</v>
      </c>
      <c r="DJ8" s="72"/>
      <c r="DK8" s="72"/>
      <c r="DL8" s="72"/>
      <c r="DM8" s="73"/>
      <c r="DN8" s="73"/>
      <c r="DO8" s="73"/>
      <c r="DP8" s="73"/>
      <c r="DQ8" s="73"/>
      <c r="DR8" s="73"/>
      <c r="DS8" s="73">
        <v>1</v>
      </c>
    </row>
    <row r="9" spans="1:123" x14ac:dyDescent="0.25">
      <c r="A9" t="s">
        <v>143</v>
      </c>
      <c r="B9">
        <f t="shared" si="0"/>
        <v>15</v>
      </c>
      <c r="C9" s="62"/>
      <c r="D9" s="62"/>
      <c r="E9" s="62"/>
      <c r="F9" s="62"/>
      <c r="G9" s="62"/>
      <c r="H9" s="62">
        <v>1</v>
      </c>
      <c r="I9" s="62"/>
      <c r="J9" s="62">
        <v>1</v>
      </c>
      <c r="K9" s="63">
        <v>1</v>
      </c>
      <c r="L9" s="63">
        <v>1</v>
      </c>
      <c r="M9" s="63">
        <v>1</v>
      </c>
      <c r="N9" s="63"/>
      <c r="O9" s="63"/>
      <c r="P9" s="63"/>
      <c r="Q9" s="64"/>
      <c r="R9" s="64"/>
      <c r="S9" s="64"/>
      <c r="T9" s="65"/>
      <c r="U9" s="65"/>
      <c r="V9" s="65"/>
      <c r="W9" s="66"/>
      <c r="X9" s="66">
        <v>1</v>
      </c>
      <c r="Y9" s="66"/>
      <c r="Z9" s="66"/>
      <c r="AA9" s="67"/>
      <c r="AB9" s="67"/>
      <c r="AC9" s="67"/>
      <c r="AD9" s="67"/>
      <c r="AE9" s="67"/>
      <c r="AF9" s="68">
        <v>1</v>
      </c>
      <c r="AG9" s="68"/>
      <c r="AH9" s="68">
        <v>1</v>
      </c>
      <c r="AI9" s="68"/>
      <c r="AJ9" s="68">
        <v>1</v>
      </c>
      <c r="AK9" s="68"/>
      <c r="AL9" s="68"/>
      <c r="AM9" s="68"/>
      <c r="AN9" s="68"/>
      <c r="AO9" s="68"/>
      <c r="AP9" s="68"/>
      <c r="AQ9" s="68"/>
      <c r="AR9" s="68">
        <v>1</v>
      </c>
      <c r="AS9" s="68">
        <v>1</v>
      </c>
      <c r="AT9" s="68"/>
      <c r="AU9" s="68"/>
      <c r="AV9" s="68"/>
      <c r="AW9" s="68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70"/>
      <c r="BV9" s="70"/>
      <c r="BW9" s="70"/>
      <c r="BX9" s="70"/>
      <c r="BY9" s="70"/>
      <c r="BZ9" s="70"/>
      <c r="CA9" s="70"/>
      <c r="CB9" s="70"/>
      <c r="CC9" s="70">
        <v>1</v>
      </c>
      <c r="CD9" s="70">
        <v>1</v>
      </c>
      <c r="CE9" s="70">
        <v>1</v>
      </c>
      <c r="CF9" s="70"/>
      <c r="CG9" s="70"/>
      <c r="CH9" s="70"/>
      <c r="CI9" s="70"/>
      <c r="CJ9" s="70"/>
      <c r="CK9" s="70"/>
      <c r="CL9" s="70"/>
      <c r="CM9" s="71"/>
      <c r="CN9" s="71"/>
      <c r="CO9" s="71"/>
      <c r="CP9" s="71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2"/>
      <c r="DG9" s="72"/>
      <c r="DH9" s="72"/>
      <c r="DI9" s="72">
        <v>1</v>
      </c>
      <c r="DJ9" s="72"/>
      <c r="DK9" s="72"/>
      <c r="DL9" s="72"/>
      <c r="DM9" s="73"/>
      <c r="DN9" s="73"/>
      <c r="DO9" s="73"/>
      <c r="DP9" s="73"/>
      <c r="DQ9" s="73"/>
      <c r="DR9" s="73"/>
      <c r="DS9" s="73"/>
    </row>
    <row r="10" spans="1:123" x14ac:dyDescent="0.25">
      <c r="A10" t="s">
        <v>144</v>
      </c>
      <c r="B10">
        <f t="shared" si="0"/>
        <v>13</v>
      </c>
      <c r="C10" s="62"/>
      <c r="D10" s="62"/>
      <c r="E10" s="62"/>
      <c r="F10" s="62"/>
      <c r="G10" s="62"/>
      <c r="H10" s="62"/>
      <c r="I10" s="62">
        <v>1</v>
      </c>
      <c r="J10" s="62">
        <v>1</v>
      </c>
      <c r="K10" s="63"/>
      <c r="L10" s="63"/>
      <c r="M10" s="63"/>
      <c r="N10" s="63"/>
      <c r="O10" s="63"/>
      <c r="P10" s="63"/>
      <c r="Q10" s="64"/>
      <c r="R10" s="64"/>
      <c r="S10" s="64"/>
      <c r="T10" s="65"/>
      <c r="U10" s="65"/>
      <c r="V10" s="65"/>
      <c r="W10" s="66"/>
      <c r="X10" s="66"/>
      <c r="Y10" s="66"/>
      <c r="Z10" s="66"/>
      <c r="AA10" s="67"/>
      <c r="AB10" s="67"/>
      <c r="AC10" s="67"/>
      <c r="AD10" s="67">
        <v>1</v>
      </c>
      <c r="AE10" s="67"/>
      <c r="AF10" s="68"/>
      <c r="AG10" s="68"/>
      <c r="AH10" s="68">
        <v>1</v>
      </c>
      <c r="AI10" s="68">
        <v>1</v>
      </c>
      <c r="AJ10" s="68"/>
      <c r="AK10" s="68"/>
      <c r="AL10" s="68"/>
      <c r="AM10" s="68"/>
      <c r="AN10" s="68"/>
      <c r="AO10" s="68"/>
      <c r="AP10" s="68">
        <v>1</v>
      </c>
      <c r="AQ10" s="68"/>
      <c r="AR10" s="68">
        <v>1</v>
      </c>
      <c r="AS10" s="68">
        <v>1</v>
      </c>
      <c r="AT10" s="68"/>
      <c r="AU10" s="68">
        <v>1</v>
      </c>
      <c r="AV10" s="68"/>
      <c r="AW10" s="68"/>
      <c r="AX10" s="69"/>
      <c r="AY10" s="69"/>
      <c r="AZ10" s="69"/>
      <c r="BA10" s="69"/>
      <c r="BB10" s="69"/>
      <c r="BC10" s="69"/>
      <c r="BD10" s="69"/>
      <c r="BE10" s="69"/>
      <c r="BF10" s="69"/>
      <c r="BG10" s="69">
        <v>1</v>
      </c>
      <c r="BH10" s="69">
        <v>1</v>
      </c>
      <c r="BI10" s="69">
        <v>1</v>
      </c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1"/>
      <c r="CN10" s="71"/>
      <c r="CO10" s="71"/>
      <c r="CP10" s="71"/>
      <c r="CQ10" s="71"/>
      <c r="CR10" s="71"/>
      <c r="CS10" s="71"/>
      <c r="CT10" s="71"/>
      <c r="CU10" s="71"/>
      <c r="CV10" s="71"/>
      <c r="CW10" s="71"/>
      <c r="CX10" s="71"/>
      <c r="CY10" s="71"/>
      <c r="CZ10" s="71"/>
      <c r="DA10" s="71"/>
      <c r="DB10" s="71"/>
      <c r="DC10" s="71"/>
      <c r="DD10" s="71"/>
      <c r="DE10" s="71"/>
      <c r="DF10" s="72"/>
      <c r="DG10" s="72"/>
      <c r="DH10" s="72"/>
      <c r="DI10" s="72"/>
      <c r="DJ10" s="72"/>
      <c r="DK10" s="72"/>
      <c r="DL10" s="72"/>
      <c r="DM10" s="73"/>
      <c r="DN10" s="73"/>
      <c r="DO10" s="73"/>
      <c r="DP10" s="73"/>
      <c r="DQ10" s="73"/>
      <c r="DR10" s="73">
        <v>1</v>
      </c>
      <c r="DS10" s="73"/>
    </row>
    <row r="11" spans="1:123" x14ac:dyDescent="0.25">
      <c r="A11" t="s">
        <v>145</v>
      </c>
      <c r="B11">
        <f t="shared" si="0"/>
        <v>13</v>
      </c>
      <c r="C11" s="62"/>
      <c r="D11" s="62"/>
      <c r="E11" s="62"/>
      <c r="F11" s="62"/>
      <c r="G11" s="62"/>
      <c r="H11" s="62"/>
      <c r="I11" s="62">
        <v>1</v>
      </c>
      <c r="J11" s="62"/>
      <c r="K11" s="63"/>
      <c r="L11" s="63"/>
      <c r="M11" s="63"/>
      <c r="N11" s="63"/>
      <c r="O11" s="63"/>
      <c r="P11" s="63"/>
      <c r="Q11" s="64"/>
      <c r="R11" s="64"/>
      <c r="S11" s="64"/>
      <c r="T11" s="65"/>
      <c r="U11" s="65"/>
      <c r="V11" s="65">
        <v>1</v>
      </c>
      <c r="W11" s="66"/>
      <c r="X11" s="66"/>
      <c r="Y11" s="66"/>
      <c r="Z11" s="66"/>
      <c r="AA11" s="67"/>
      <c r="AB11" s="67"/>
      <c r="AC11" s="67"/>
      <c r="AD11" s="67"/>
      <c r="AE11" s="67">
        <v>1</v>
      </c>
      <c r="AF11" s="68">
        <v>1</v>
      </c>
      <c r="AG11" s="68">
        <v>1</v>
      </c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>
        <v>1</v>
      </c>
      <c r="CK11" s="70">
        <v>1</v>
      </c>
      <c r="CL11" s="70">
        <v>1</v>
      </c>
      <c r="CM11" s="71"/>
      <c r="CN11" s="71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1"/>
      <c r="DD11" s="71"/>
      <c r="DE11" s="71"/>
      <c r="DF11" s="72">
        <v>1</v>
      </c>
      <c r="DG11" s="72"/>
      <c r="DH11" s="72"/>
      <c r="DI11" s="72"/>
      <c r="DJ11" s="72"/>
      <c r="DK11" s="72"/>
      <c r="DL11" s="72"/>
      <c r="DM11" s="73">
        <v>1</v>
      </c>
      <c r="DN11" s="73">
        <v>1</v>
      </c>
      <c r="DO11" s="73"/>
      <c r="DP11" s="73">
        <v>1</v>
      </c>
      <c r="DQ11" s="73">
        <v>1</v>
      </c>
      <c r="DR11" s="73"/>
      <c r="DS11" s="73"/>
    </row>
    <row r="12" spans="1:123" x14ac:dyDescent="0.25">
      <c r="A12" t="s">
        <v>146</v>
      </c>
      <c r="B12">
        <f t="shared" si="0"/>
        <v>13</v>
      </c>
      <c r="C12" s="62"/>
      <c r="D12" s="62">
        <v>1</v>
      </c>
      <c r="E12" s="62"/>
      <c r="F12" s="62">
        <v>1</v>
      </c>
      <c r="G12" s="62"/>
      <c r="H12" s="62"/>
      <c r="I12" s="62"/>
      <c r="J12" s="62"/>
      <c r="K12" s="63">
        <v>1</v>
      </c>
      <c r="L12" s="63">
        <v>1</v>
      </c>
      <c r="M12" s="63"/>
      <c r="N12" s="63"/>
      <c r="O12" s="63"/>
      <c r="P12" s="63"/>
      <c r="Q12" s="64">
        <v>1</v>
      </c>
      <c r="R12" s="64"/>
      <c r="S12" s="64"/>
      <c r="T12" s="65"/>
      <c r="U12" s="65"/>
      <c r="V12" s="65"/>
      <c r="W12" s="66">
        <v>1</v>
      </c>
      <c r="X12" s="66"/>
      <c r="Y12" s="66"/>
      <c r="Z12" s="66"/>
      <c r="AA12" s="67"/>
      <c r="AB12" s="67"/>
      <c r="AC12" s="67"/>
      <c r="AD12" s="67"/>
      <c r="AE12" s="67">
        <v>1</v>
      </c>
      <c r="AF12" s="68">
        <v>1</v>
      </c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>
        <v>1</v>
      </c>
      <c r="AV12" s="68"/>
      <c r="AW12" s="68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>
        <v>1</v>
      </c>
      <c r="CI12" s="70">
        <v>1</v>
      </c>
      <c r="CJ12" s="70"/>
      <c r="CK12" s="70"/>
      <c r="CL12" s="70"/>
      <c r="CM12" s="71"/>
      <c r="CN12" s="71"/>
      <c r="CO12" s="71"/>
      <c r="CP12" s="71"/>
      <c r="CQ12" s="71"/>
      <c r="CR12" s="71"/>
      <c r="CS12" s="71"/>
      <c r="CT12" s="71"/>
      <c r="CU12" s="71"/>
      <c r="CV12" s="71"/>
      <c r="CW12" s="71"/>
      <c r="CX12" s="71"/>
      <c r="CY12" s="71"/>
      <c r="CZ12" s="71"/>
      <c r="DA12" s="71"/>
      <c r="DB12" s="71"/>
      <c r="DC12" s="71"/>
      <c r="DD12" s="71"/>
      <c r="DE12" s="71"/>
      <c r="DF12" s="72"/>
      <c r="DG12" s="72"/>
      <c r="DH12" s="72"/>
      <c r="DI12" s="72"/>
      <c r="DJ12" s="72"/>
      <c r="DK12" s="72"/>
      <c r="DL12" s="72"/>
      <c r="DM12" s="73"/>
      <c r="DN12" s="73"/>
      <c r="DO12" s="73">
        <v>1</v>
      </c>
      <c r="DP12" s="73"/>
      <c r="DQ12" s="73">
        <v>1</v>
      </c>
      <c r="DR12" s="73"/>
      <c r="DS12" s="73"/>
    </row>
    <row r="13" spans="1:123" x14ac:dyDescent="0.25">
      <c r="A13" t="s">
        <v>147</v>
      </c>
      <c r="B13">
        <f t="shared" si="0"/>
        <v>14</v>
      </c>
      <c r="C13" s="62"/>
      <c r="D13" s="62"/>
      <c r="E13" s="62"/>
      <c r="F13" s="62"/>
      <c r="G13" s="62"/>
      <c r="H13" s="62"/>
      <c r="I13" s="62">
        <v>1</v>
      </c>
      <c r="J13" s="62">
        <v>1</v>
      </c>
      <c r="K13" s="63"/>
      <c r="L13" s="63"/>
      <c r="M13" s="63"/>
      <c r="N13" s="63"/>
      <c r="O13" s="63"/>
      <c r="P13" s="63"/>
      <c r="Q13" s="64"/>
      <c r="R13" s="64"/>
      <c r="S13" s="64"/>
      <c r="T13" s="65"/>
      <c r="U13" s="65"/>
      <c r="V13" s="65"/>
      <c r="W13" s="66">
        <v>1</v>
      </c>
      <c r="X13" s="66">
        <v>1</v>
      </c>
      <c r="Y13" s="66"/>
      <c r="Z13" s="66"/>
      <c r="AA13" s="67">
        <v>1</v>
      </c>
      <c r="AB13" s="67"/>
      <c r="AC13" s="67"/>
      <c r="AD13" s="67"/>
      <c r="AE13" s="67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>
        <v>1</v>
      </c>
      <c r="BQ13" s="69">
        <v>1</v>
      </c>
      <c r="BR13" s="69">
        <v>1</v>
      </c>
      <c r="BS13" s="69">
        <v>1</v>
      </c>
      <c r="BT13" s="69">
        <v>1</v>
      </c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1"/>
      <c r="CN13" s="71"/>
      <c r="CO13" s="71"/>
      <c r="CP13" s="71"/>
      <c r="CQ13" s="71"/>
      <c r="CR13" s="71"/>
      <c r="CS13" s="71"/>
      <c r="CT13" s="71"/>
      <c r="CU13" s="71"/>
      <c r="CV13" s="71"/>
      <c r="CW13" s="71"/>
      <c r="CX13" s="71"/>
      <c r="CY13" s="71"/>
      <c r="CZ13" s="71"/>
      <c r="DA13" s="71"/>
      <c r="DB13" s="71"/>
      <c r="DC13" s="71"/>
      <c r="DD13" s="71"/>
      <c r="DE13" s="71"/>
      <c r="DF13" s="72"/>
      <c r="DG13" s="72"/>
      <c r="DH13" s="72"/>
      <c r="DI13" s="72"/>
      <c r="DJ13" s="72"/>
      <c r="DK13" s="72"/>
      <c r="DL13" s="72"/>
      <c r="DM13" s="73"/>
      <c r="DN13" s="73">
        <v>1</v>
      </c>
      <c r="DO13" s="73">
        <v>1</v>
      </c>
      <c r="DP13" s="73">
        <v>1</v>
      </c>
      <c r="DQ13" s="73"/>
      <c r="DR13" s="73">
        <v>1</v>
      </c>
      <c r="DS13" s="73"/>
    </row>
    <row r="14" spans="1:123" x14ac:dyDescent="0.25">
      <c r="A14" t="s">
        <v>148</v>
      </c>
      <c r="B14">
        <f t="shared" si="0"/>
        <v>16</v>
      </c>
      <c r="C14" s="62"/>
      <c r="D14" s="62">
        <v>1</v>
      </c>
      <c r="E14" s="62"/>
      <c r="F14" s="62">
        <v>1</v>
      </c>
      <c r="G14" s="62"/>
      <c r="H14" s="62"/>
      <c r="I14" s="62"/>
      <c r="J14" s="62">
        <v>1</v>
      </c>
      <c r="K14" s="63"/>
      <c r="L14" s="63"/>
      <c r="M14" s="63">
        <v>1</v>
      </c>
      <c r="N14" s="63"/>
      <c r="O14" s="63"/>
      <c r="P14" s="63"/>
      <c r="Q14" s="64"/>
      <c r="R14" s="64"/>
      <c r="S14" s="64"/>
      <c r="T14" s="65"/>
      <c r="U14" s="65"/>
      <c r="V14" s="65"/>
      <c r="W14" s="66"/>
      <c r="X14" s="66"/>
      <c r="Y14" s="66"/>
      <c r="Z14" s="66"/>
      <c r="AA14" s="67"/>
      <c r="AB14" s="67"/>
      <c r="AC14" s="67">
        <v>1</v>
      </c>
      <c r="AD14" s="67"/>
      <c r="AE14" s="67"/>
      <c r="AF14" s="68">
        <v>1</v>
      </c>
      <c r="AG14" s="68"/>
      <c r="AH14" s="68"/>
      <c r="AI14" s="68"/>
      <c r="AJ14" s="68"/>
      <c r="AK14" s="68"/>
      <c r="AL14" s="68"/>
      <c r="AM14" s="68"/>
      <c r="AN14" s="68"/>
      <c r="AO14" s="68"/>
      <c r="AP14" s="68">
        <v>1</v>
      </c>
      <c r="AQ14" s="68"/>
      <c r="AR14" s="68"/>
      <c r="AS14" s="68">
        <v>1</v>
      </c>
      <c r="AT14" s="68"/>
      <c r="AU14" s="68"/>
      <c r="AV14" s="68"/>
      <c r="AW14" s="68">
        <v>1</v>
      </c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O14" s="69">
        <v>1</v>
      </c>
      <c r="BP14" s="69"/>
      <c r="BQ14" s="69"/>
      <c r="BR14" s="69"/>
      <c r="BS14" s="69"/>
      <c r="BT14" s="69"/>
      <c r="BU14" s="70"/>
      <c r="BV14" s="70"/>
      <c r="BW14" s="70"/>
      <c r="BX14" s="70"/>
      <c r="BY14" s="70"/>
      <c r="BZ14" s="70"/>
      <c r="CA14" s="70">
        <v>1</v>
      </c>
      <c r="CB14" s="70">
        <v>1</v>
      </c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1"/>
      <c r="CN14" s="71"/>
      <c r="CO14" s="71"/>
      <c r="CP14" s="71"/>
      <c r="CQ14" s="71"/>
      <c r="CR14" s="71"/>
      <c r="CS14" s="71"/>
      <c r="CT14" s="71"/>
      <c r="CU14" s="71"/>
      <c r="CV14" s="71"/>
      <c r="CW14" s="71"/>
      <c r="CX14" s="71"/>
      <c r="CY14" s="71"/>
      <c r="CZ14" s="71"/>
      <c r="DA14" s="71"/>
      <c r="DB14" s="71"/>
      <c r="DC14" s="71"/>
      <c r="DD14" s="71"/>
      <c r="DE14" s="71"/>
      <c r="DF14" s="72"/>
      <c r="DG14" s="72"/>
      <c r="DH14" s="72"/>
      <c r="DI14" s="72">
        <v>1</v>
      </c>
      <c r="DJ14" s="72"/>
      <c r="DK14" s="72"/>
      <c r="DL14" s="72"/>
      <c r="DM14" s="73">
        <v>1</v>
      </c>
      <c r="DN14" s="73"/>
      <c r="DO14" s="73"/>
      <c r="DP14" s="73">
        <v>1</v>
      </c>
      <c r="DQ14" s="73"/>
      <c r="DR14" s="73">
        <v>1</v>
      </c>
      <c r="DS14" s="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Ficha completa</vt:lpstr>
      <vt:lpstr>Ficha inicial</vt:lpstr>
      <vt:lpstr>Razas</vt:lpstr>
      <vt:lpstr>Clases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2024-07-17T15:49:52Z</dcterms:modified>
</cp:coreProperties>
</file>