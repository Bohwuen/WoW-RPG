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bbib\Downloads\"/>
    </mc:Choice>
  </mc:AlternateContent>
  <xr:revisionPtr revIDLastSave="0" documentId="13_ncr:1_{7D369EE7-0F40-4824-9D35-997BDEF9256D}" xr6:coauthVersionLast="47" xr6:coauthVersionMax="47" xr10:uidLastSave="{00000000-0000-0000-0000-000000000000}"/>
  <workbookProtection workbookAlgorithmName="SHA-512" workbookHashValue="BX7ILVwGe9yHOf+QPVBzSf+Sf8TsYSbC7nU6TP3Tb1zSGBuxVUnyCgyHVOqWNswiyQrkkrafNhvvizSQXGQ6vg==" workbookSaltValue="NVnhWOzlino/BAeoJfRP+g==" workbookSpinCount="100000" lockStructure="1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  <sheet name="Raciales Especiale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DV3" i="3" s="1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DV22" i="3" l="1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29" i="3"/>
  <c r="DV30" i="3"/>
  <c r="DV31" i="3"/>
  <c r="DV32" i="3"/>
  <c r="DV33" i="3"/>
  <c r="DV18" i="3"/>
  <c r="DV19" i="3"/>
  <c r="DV34" i="3"/>
  <c r="DV35" i="3"/>
  <c r="DV36" i="3"/>
  <c r="DV37" i="3"/>
  <c r="DV5" i="3"/>
  <c r="DV38" i="3"/>
  <c r="DV17" i="3"/>
  <c r="DV21" i="3"/>
  <c r="DV39" i="3"/>
  <c r="DV2" i="3"/>
  <c r="DV40" i="3"/>
  <c r="B4" i="3"/>
  <c r="B3" i="3"/>
  <c r="DQ3" i="3"/>
  <c r="DQ4" i="3"/>
  <c r="DU4" i="3"/>
  <c r="DU3" i="3"/>
  <c r="W4" i="3"/>
  <c r="W3" i="3"/>
  <c r="BW4" i="3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M3" i="3"/>
  <c r="CE3" i="3"/>
  <c r="CD3" i="3"/>
  <c r="DP4" i="3"/>
  <c r="AU4" i="3"/>
  <c r="G4" i="3"/>
  <c r="G2" i="3" s="1"/>
  <c r="E9" i="4" s="1"/>
  <c r="DN4" i="3"/>
  <c r="AJ4" i="3"/>
  <c r="BP4" i="3"/>
  <c r="BQ4" i="3"/>
  <c r="BM4" i="3"/>
  <c r="BK4" i="3"/>
  <c r="BJ4" i="3"/>
  <c r="DR4" i="3"/>
  <c r="AK4" i="3"/>
  <c r="DM4" i="3"/>
  <c r="AI4" i="3"/>
  <c r="CZ4" i="3"/>
  <c r="T4" i="3"/>
  <c r="BN4" i="3"/>
  <c r="DL4" i="3"/>
  <c r="CY4" i="3"/>
  <c r="S4" i="3"/>
  <c r="BO4" i="3"/>
  <c r="DT4" i="3"/>
  <c r="DS4" i="3"/>
  <c r="AH4" i="3"/>
  <c r="CX4" i="3"/>
  <c r="R4" i="3"/>
  <c r="BL4" i="3"/>
  <c r="AV4" i="3"/>
  <c r="DO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CH4" i="3"/>
  <c r="AD4" i="3"/>
  <c r="DF4" i="3"/>
  <c r="CD4" i="3"/>
  <c r="BB4" i="3"/>
  <c r="Z4" i="3"/>
  <c r="BE4" i="3"/>
  <c r="AB4" i="3"/>
  <c r="DG4" i="3"/>
  <c r="DE4" i="3"/>
  <c r="CC4" i="3"/>
  <c r="BA4" i="3"/>
  <c r="CF4" i="3"/>
  <c r="BC4" i="3"/>
  <c r="DD4" i="3"/>
  <c r="CB4" i="3"/>
  <c r="AZ4" i="3"/>
  <c r="Y4" i="3"/>
  <c r="E4" i="3"/>
  <c r="BG4" i="3"/>
  <c r="DC4" i="3"/>
  <c r="CA4" i="3"/>
  <c r="AY4" i="3"/>
  <c r="X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L3" i="3"/>
  <c r="Z3" i="3"/>
  <c r="DB3" i="3"/>
  <c r="BD3" i="3"/>
  <c r="L3" i="3"/>
  <c r="DH3" i="3"/>
  <c r="V3" i="3"/>
  <c r="DA3" i="3"/>
  <c r="BC3" i="3"/>
  <c r="F3" i="3"/>
  <c r="BI3" i="3"/>
  <c r="DF3" i="3"/>
  <c r="T3" i="3"/>
  <c r="CZ3" i="3"/>
  <c r="BB3" i="3"/>
  <c r="E3" i="3"/>
  <c r="AB3" i="3"/>
  <c r="Y3" i="3"/>
  <c r="X3" i="3"/>
  <c r="CY3" i="3"/>
  <c r="BA3" i="3"/>
  <c r="D3" i="3"/>
  <c r="BV3" i="3"/>
  <c r="BH3" i="3"/>
  <c r="CX3" i="3"/>
  <c r="BX3" i="3"/>
  <c r="DJ3" i="3"/>
  <c r="BW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AX3" i="3"/>
  <c r="CV3" i="3"/>
  <c r="BT3" i="3"/>
  <c r="AR3" i="3"/>
  <c r="P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O3" i="3"/>
  <c r="BR3" i="3"/>
  <c r="AP3" i="3"/>
  <c r="DT3" i="3"/>
  <c r="CR3" i="3"/>
  <c r="DP3" i="3"/>
  <c r="CO3" i="3"/>
  <c r="BM3" i="3"/>
  <c r="AK3" i="3"/>
  <c r="I3" i="3"/>
  <c r="BU3" i="3"/>
  <c r="Q3" i="3"/>
  <c r="BL3" i="3"/>
  <c r="DO3" i="3"/>
  <c r="CN3" i="3"/>
  <c r="AJ3" i="3"/>
  <c r="H3" i="3"/>
  <c r="DN3" i="3"/>
  <c r="CM3" i="3"/>
  <c r="BK3" i="3"/>
  <c r="AI3" i="3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</calcChain>
</file>

<file path=xl/sharedStrings.xml><?xml version="1.0" encoding="utf-8"?>
<sst xmlns="http://schemas.openxmlformats.org/spreadsheetml/2006/main" count="634" uniqueCount="269">
  <si>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</si>
  <si>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</si>
  <si>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</si>
  <si>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</si>
  <si>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</si>
  <si>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</si>
  <si>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</si>
  <si>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</si>
  <si>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</si>
  <si>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</si>
  <si>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</si>
  <si>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</si>
  <si>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</si>
  <si>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</si>
  <si>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</si>
  <si>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</si>
  <si>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</si>
  <si>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</si>
  <si>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</si>
  <si>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</si>
  <si>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</si>
  <si>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</si>
  <si>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</si>
  <si>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</si>
  <si>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</si>
  <si>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</si>
  <si>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</si>
  <si>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</si>
  <si>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</si>
  <si>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</si>
  <si>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</si>
  <si>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</si>
  <si>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</si>
  <si>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</si>
  <si>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</si>
  <si>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</si>
  <si>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</si>
  <si>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</si>
  <si>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</si>
  <si>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</si>
  <si>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</si>
  <si>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</si>
  <si>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</si>
  <si>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</si>
  <si>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</si>
  <si>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</si>
  <si>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</si>
  <si>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</si>
  <si>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</si>
  <si>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</si>
  <si>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</si>
  <si>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</si>
  <si>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</si>
  <si>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</si>
  <si>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</si>
  <si>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</si>
  <si>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</si>
  <si>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</si>
  <si>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</si>
  <si>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</si>
  <si>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</si>
  <si>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</si>
  <si>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</si>
  <si>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</si>
  <si>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</si>
  <si>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</si>
  <si>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</si>
  <si>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</si>
  <si>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</si>
  <si>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</si>
  <si>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</si>
  <si>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</si>
  <si>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</si>
  <si>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</si>
  <si>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</si>
  <si>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</si>
  <si>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</si>
  <si>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</si>
  <si>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</si>
  <si>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</si>
  <si>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</si>
  <si>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</si>
  <si>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</si>
  <si>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</si>
  <si>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</si>
  <si>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</si>
  <si>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</si>
  <si>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</si>
  <si>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</si>
  <si>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</si>
  <si>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</si>
  <si>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</si>
  <si>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</si>
  <si>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</si>
  <si>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</si>
  <si>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</si>
  <si>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</si>
  <si>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</si>
  <si>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</si>
  <si>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</si>
  <si>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</si>
  <si>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</si>
  <si>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</si>
  <si>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</si>
  <si>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</si>
  <si>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</si>
  <si>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</si>
  <si>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</si>
  <si>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</si>
  <si>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</si>
  <si>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</si>
  <si>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</si>
  <si>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</si>
  <si>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</si>
  <si>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</si>
  <si>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</si>
  <si>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</si>
  <si>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</si>
  <si>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</si>
  <si>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</si>
  <si>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</si>
  <si>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</si>
  <si>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</si>
  <si>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</si>
  <si>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</si>
  <si>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</si>
  <si>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</si>
  <si>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</si>
  <si>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</si>
  <si>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</si>
  <si>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</si>
  <si>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</si>
  <si>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</si>
  <si>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</si>
  <si>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</si>
  <si>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</si>
  <si>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</si>
  <si>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</si>
  <si>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</si>
  <si>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</si>
  <si>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</si>
  <si>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</si>
  <si>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</si>
  <si>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</si>
  <si>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</si>
  <si>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</si>
  <si>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</si>
  <si>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</si>
  <si>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</si>
  <si>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</si>
  <si>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</si>
  <si>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</si>
  <si>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</si>
  <si>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</si>
  <si>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</si>
  <si>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</si>
  <si>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</si>
  <si>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</si>
  <si>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</si>
  <si>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</si>
  <si>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</si>
  <si>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</si>
  <si>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</si>
  <si>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</si>
  <si>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</si>
  <si>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</si>
  <si>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</si>
  <si>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</si>
  <si>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</si>
  <si>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</si>
  <si>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</si>
  <si>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</si>
  <si>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</si>
  <si>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</si>
  <si>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</si>
  <si>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</si>
  <si>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</si>
  <si>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</si>
  <si>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</si>
  <si>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</si>
  <si>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</si>
  <si>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</si>
  <si>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</si>
  <si>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</si>
  <si>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</si>
  <si>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</si>
  <si>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</si>
  <si>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</si>
  <si>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</si>
  <si>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</si>
  <si>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</si>
  <si>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</si>
  <si>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</si>
  <si>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</si>
  <si>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</si>
  <si>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</si>
  <si>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</si>
  <si>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</si>
  <si>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</si>
  <si>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</si>
  <si>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</si>
  <si>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</si>
  <si>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</si>
  <si>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</si>
  <si>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</si>
  <si>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</si>
  <si>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</si>
  <si>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</si>
  <si>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</si>
  <si>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</si>
  <si>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</si>
  <si>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</si>
  <si>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</si>
  <si>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</si>
  <si>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</si>
  <si>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</si>
  <si>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</si>
  <si>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</si>
  <si>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</si>
  <si>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</si>
  <si>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</si>
  <si>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</si>
  <si>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</si>
  <si>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</si>
  <si>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</si>
  <si>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</si>
  <si>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</si>
  <si>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</si>
  <si>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</si>
  <si>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</si>
  <si>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</si>
  <si>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</si>
  <si>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</si>
  <si>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</si>
  <si>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</si>
  <si>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</si>
  <si>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</si>
  <si>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</si>
  <si>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</si>
  <si>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</si>
  <si>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</si>
  <si>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</si>
  <si>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</si>
  <si>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</si>
  <si>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</si>
  <si>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</si>
  <si>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</si>
  <si>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</si>
  <si>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</si>
  <si>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</si>
  <si>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</si>
  <si>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</si>
  <si>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</si>
  <si>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</si>
  <si>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</si>
  <si>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</si>
  <si>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</si>
  <si>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</si>
  <si>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</si>
  <si>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</si>
  <si>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</si>
  <si>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</si>
  <si>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</si>
  <si>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</si>
  <si>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</si>
  <si>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</si>
  <si>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H9;R8;1,H9;R8;1,H9;R8;1,H9;R8;1,H9;R8;1,H9;R4;3,</t>
  </si>
  <si>
    <t>D9;R5,</t>
  </si>
  <si>
    <t>L5;R11;1,L5;R11;1,L6;R11;1,L6;R11;1,L6;R11;1,L5;R11;1,L6;R11;1,L6;R11;1,L6;R11;1,L9;R11;1,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</si>
</sst>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18</xdr:row>
          <xdr:rowOff>9525</xdr:rowOff>
        </xdr:from>
        <xdr:to>
          <xdr:col>11</xdr:col>
          <xdr:colOff>752475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zoomScaleNormal="100" workbookViewId="0">
      <selection activeCell="Q1" sqref="Q1:U1048576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11.42578125" style="103"/>
    <col min="13" max="13" width="5.5703125" bestFit="1" customWidth="1"/>
    <col min="14" max="14" width="5.42578125" bestFit="1" customWidth="1"/>
    <col min="15" max="16" width="13.7109375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197</v>
      </c>
      <c r="D1" s="175" t="s">
        <v>156</v>
      </c>
      <c r="E1" s="176"/>
      <c r="F1" s="176"/>
      <c r="G1" s="177"/>
      <c r="H1" s="126"/>
      <c r="I1" s="126"/>
      <c r="J1" s="126"/>
      <c r="K1" s="126"/>
      <c r="L1" s="126"/>
      <c r="M1" s="126"/>
      <c r="N1" s="127"/>
      <c r="U1" t="s">
        <v>192</v>
      </c>
    </row>
    <row r="2" spans="3:25" x14ac:dyDescent="0.25">
      <c r="C2" s="125" t="s">
        <v>198</v>
      </c>
      <c r="D2" s="178" t="s">
        <v>131</v>
      </c>
      <c r="E2" s="179"/>
      <c r="F2" s="179"/>
      <c r="G2" s="180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195</v>
      </c>
      <c r="D3" s="119">
        <v>1</v>
      </c>
      <c r="E3" s="118"/>
      <c r="F3" s="118"/>
      <c r="G3" s="118" t="s">
        <v>196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4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199</v>
      </c>
      <c r="W4" s="121">
        <v>7</v>
      </c>
      <c r="X4" s="174" t="s">
        <v>200</v>
      </c>
      <c r="Y4" s="174"/>
    </row>
    <row r="5" spans="3:25" ht="15" customHeight="1" x14ac:dyDescent="0.25">
      <c r="C5" s="3" t="s">
        <v>11</v>
      </c>
      <c r="D5" s="98">
        <v>0</v>
      </c>
      <c r="E5" s="3">
        <f>IF(OR(ISBLANK($D$1),  ISBLANK($D$2)),"", HLOOKUP(C5,'Ficha inicial'!$C$1:$J$5, 2, FALSE))</f>
        <v>2</v>
      </c>
      <c r="F5" s="87">
        <f t="shared" ref="F5:F12" si="0">SUM(D5,E5)</f>
        <v>2</v>
      </c>
      <c r="G5" s="7" t="s">
        <v>206</v>
      </c>
      <c r="H5" s="105">
        <v>0</v>
      </c>
      <c r="I5" s="7">
        <f>IF(OR(ISBLANK($D$1),  ISBLANK($D$2)),"", HLOOKUP(G5,'Ficha inicial'!$K$1:$Z$5, 2, FALSE))</f>
        <v>1</v>
      </c>
      <c r="J5" s="90">
        <f>SUM(H5,I5)</f>
        <v>1</v>
      </c>
      <c r="K5" s="86" t="s">
        <v>38</v>
      </c>
      <c r="L5" s="115"/>
      <c r="M5" s="86">
        <f>IF(ISBLANK(K5), "", HLOOKUP(K5,'Ficha inicial'!$AF$1:$AW$2, 2, FALSE))</f>
        <v>2</v>
      </c>
      <c r="N5" s="95">
        <f t="shared" ref="N5:N17" si="1">IF(ISBLANK(K5),"",SUM(L5:M5))</f>
        <v>2</v>
      </c>
      <c r="O5" s="171" t="s">
        <v>207</v>
      </c>
      <c r="P5" s="172"/>
      <c r="Q5" t="s">
        <v>181</v>
      </c>
      <c r="R5">
        <v>4</v>
      </c>
      <c r="T5">
        <v>4</v>
      </c>
      <c r="U5" t="s">
        <v>267</v>
      </c>
      <c r="V5" s="121" t="s">
        <v>180</v>
      </c>
      <c r="W5" s="121">
        <v>20</v>
      </c>
      <c r="X5" s="121" t="s">
        <v>201</v>
      </c>
      <c r="Y5" s="121" t="s">
        <v>202</v>
      </c>
    </row>
    <row r="6" spans="3:25" x14ac:dyDescent="0.25">
      <c r="C6" s="3" t="s">
        <v>12</v>
      </c>
      <c r="D6" s="98">
        <v>0</v>
      </c>
      <c r="E6" s="3">
        <f>IF(OR(ISBLANK($D$1),  ISBLANK($D$2)),"", HLOOKUP(C6,'Ficha inicial'!$C$1:$J$5, 2, FALSE))</f>
        <v>3</v>
      </c>
      <c r="F6" s="87">
        <f t="shared" si="0"/>
        <v>3</v>
      </c>
      <c r="G6" s="7" t="s">
        <v>31</v>
      </c>
      <c r="H6" s="105">
        <v>0</v>
      </c>
      <c r="I6" s="7">
        <f>IF(OR(ISBLANK($D$1),  ISBLANK($D$2)),"", HLOOKUP(G6,'Ficha inicial'!$K$1:$Z$5, 2, FALSE))</f>
        <v>0</v>
      </c>
      <c r="J6" s="90">
        <f>SUM(H6,I6)</f>
        <v>0</v>
      </c>
      <c r="K6" s="86" t="s">
        <v>39</v>
      </c>
      <c r="L6" s="115"/>
      <c r="M6" s="86">
        <f>IF(ISBLANK(K6), "", HLOOKUP(K6,'Ficha inicial'!$AF$1:$AW$2, 2, FALSE))</f>
        <v>2</v>
      </c>
      <c r="N6" s="95">
        <f t="shared" si="1"/>
        <v>2</v>
      </c>
      <c r="O6" s="171"/>
      <c r="P6" s="172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>
        <f>IF(OR(ISBLANK($D$1),  ISBLANK($D$2)),"", HLOOKUP(C7,'Ficha inicial'!$C$1:$J$5, 2, FALSE))</f>
        <v>1</v>
      </c>
      <c r="F7" s="87">
        <f t="shared" si="0"/>
        <v>1</v>
      </c>
      <c r="G7" s="7" t="s">
        <v>32</v>
      </c>
      <c r="H7" s="105">
        <v>0</v>
      </c>
      <c r="I7" s="7">
        <f>IF(OR(ISBLANK($D$1),  ISBLANK($D$2)),"", HLOOKUP(G7,'Ficha inicial'!$K$1:$Z$5, 2, FALSE))</f>
        <v>0</v>
      </c>
      <c r="J7" s="90">
        <f>SUM(H7,I7)</f>
        <v>0</v>
      </c>
      <c r="K7" s="86" t="s">
        <v>40</v>
      </c>
      <c r="L7" s="115"/>
      <c r="M7" s="86">
        <f>IF(ISBLANK(K7), "", HLOOKUP(K7,'Ficha inicial'!$AF$1:$AW$2, 2, FALSE))</f>
        <v>2</v>
      </c>
      <c r="N7" s="95">
        <f t="shared" si="1"/>
        <v>2</v>
      </c>
      <c r="O7" s="171"/>
      <c r="P7" s="172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>
        <f>IF(OR(ISBLANK($D$1),  ISBLANK($D$2)),"", HLOOKUP(C8,'Ficha inicial'!$C$1:$J$5, 2, FALSE))</f>
        <v>1</v>
      </c>
      <c r="F8" s="87">
        <f t="shared" si="0"/>
        <v>1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 t="s">
        <v>41</v>
      </c>
      <c r="L8" s="115"/>
      <c r="M8" s="86">
        <f>IF(ISBLANK(K8), "", HLOOKUP(K8,'Ficha inicial'!$AF$1:$AW$2, 2, FALSE))</f>
        <v>2</v>
      </c>
      <c r="N8" s="95">
        <f t="shared" si="1"/>
        <v>2</v>
      </c>
      <c r="O8" s="171"/>
      <c r="P8" s="172"/>
      <c r="Q8" t="s">
        <v>184</v>
      </c>
      <c r="R8">
        <v>1</v>
      </c>
      <c r="S8">
        <v>4</v>
      </c>
      <c r="T8">
        <v>3</v>
      </c>
      <c r="U8" t="s">
        <v>266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>
        <f>IF(OR(ISBLANK($D$1),  ISBLANK($D$2)),"", HLOOKUP(C9,'Ficha inicial'!$C$1:$J$5, 2, FALSE))</f>
        <v>1</v>
      </c>
      <c r="F9" s="87">
        <f t="shared" si="0"/>
        <v>1</v>
      </c>
      <c r="G9" s="63" t="s">
        <v>33</v>
      </c>
      <c r="H9" s="107">
        <v>0</v>
      </c>
      <c r="I9" s="63">
        <f>IF(OR(ISBLANK($D$1),  ISBLANK($D$2)),"", HLOOKUP(G9,'Ficha inicial'!$AA$1:$AE$5, 2, FALSE))</f>
        <v>0</v>
      </c>
      <c r="J9" s="91">
        <f>SUM(H9:I9)</f>
        <v>0</v>
      </c>
      <c r="K9" s="86" t="s">
        <v>42</v>
      </c>
      <c r="L9" s="115"/>
      <c r="M9" s="86">
        <f>IF(ISBLANK(K9), "", HLOOKUP(K9,'Ficha inicial'!$AF$1:$AW$2, 2, FALSE))</f>
        <v>1</v>
      </c>
      <c r="N9" s="95">
        <f t="shared" si="1"/>
        <v>1</v>
      </c>
      <c r="O9" s="171"/>
      <c r="P9" s="172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>
        <f>IF(OR(ISBLANK($D$1),  ISBLANK($D$2)),"", HLOOKUP(C10,'Ficha inicial'!$C$1:$J$5, 2, FALSE))</f>
        <v>2</v>
      </c>
      <c r="F10" s="87">
        <f t="shared" si="0"/>
        <v>2</v>
      </c>
      <c r="G10" s="63" t="s">
        <v>34</v>
      </c>
      <c r="H10" s="107">
        <v>0</v>
      </c>
      <c r="I10" s="63">
        <f>IF(OR(ISBLANK($D$1),  ISBLANK($D$2)),"", HLOOKUP(G10,'Ficha inicial'!$AA$1:$AE$5, 2, FALSE))</f>
        <v>1</v>
      </c>
      <c r="J10" s="91">
        <f>SUM(H10:I10)</f>
        <v>1</v>
      </c>
      <c r="K10" s="86" t="s">
        <v>43</v>
      </c>
      <c r="L10" s="115"/>
      <c r="M10" s="86">
        <f>IF(ISBLANK(K10), "", HLOOKUP(K10,'Ficha inicial'!$AF$1:$AW$2, 2, FALSE))</f>
        <v>1</v>
      </c>
      <c r="N10" s="95">
        <f t="shared" si="1"/>
        <v>1</v>
      </c>
      <c r="O10" s="171" t="s">
        <v>208</v>
      </c>
      <c r="P10" s="172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>
        <f>IF(OR(ISBLANK($D$1),  ISBLANK($D$2)),"", HLOOKUP(C11,'Ficha inicial'!$C$1:$J$5, 2, FALSE))</f>
        <v>2</v>
      </c>
      <c r="F11" s="87">
        <f t="shared" si="0"/>
        <v>2</v>
      </c>
      <c r="G11" s="63" t="s">
        <v>35</v>
      </c>
      <c r="H11" s="107">
        <v>0</v>
      </c>
      <c r="I11" s="63">
        <f>IF(OR(ISBLANK($D$1),  ISBLANK($D$2)),"", HLOOKUP(G11,'Ficha inicial'!$AA$1:$AE$5, 2, FALSE))</f>
        <v>0</v>
      </c>
      <c r="J11" s="91">
        <f>SUM(H11:I11)</f>
        <v>0</v>
      </c>
      <c r="K11" s="86" t="s">
        <v>52</v>
      </c>
      <c r="L11" s="115"/>
      <c r="M11" s="86">
        <f>IF(ISBLANK(K11), "", HLOOKUP(K11,'Ficha inicial'!$AF$1:$AW$2, 2, FALSE))</f>
        <v>1</v>
      </c>
      <c r="N11" s="95">
        <f t="shared" si="1"/>
        <v>1</v>
      </c>
      <c r="O11" s="171"/>
      <c r="P11" s="172"/>
      <c r="Q11" t="s">
        <v>183</v>
      </c>
      <c r="R11">
        <v>5</v>
      </c>
      <c r="S11">
        <v>4</v>
      </c>
      <c r="T11">
        <v>3</v>
      </c>
      <c r="U11" t="s">
        <v>268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1</v>
      </c>
      <c r="E12" s="3">
        <f>IF(OR(ISBLANK($D$1),  ISBLANK($D$2)),"", HLOOKUP(C12,'Ficha inicial'!$C$1:$J$5, 2, FALSE))</f>
        <v>1</v>
      </c>
      <c r="F12" s="87">
        <f t="shared" si="0"/>
        <v>2</v>
      </c>
      <c r="G12" s="63" t="s">
        <v>36</v>
      </c>
      <c r="H12" s="107">
        <v>0</v>
      </c>
      <c r="I12" s="63">
        <f>IF(OR(ISBLANK($D$1),  ISBLANK($D$2)),"", HLOOKUP(G12,'Ficha inicial'!$AA$1:$AE$5, 2, FALSE))</f>
        <v>0</v>
      </c>
      <c r="J12" s="91">
        <f>SUM(H12:I12)</f>
        <v>0</v>
      </c>
      <c r="K12" s="86" t="s">
        <v>53</v>
      </c>
      <c r="L12" s="115"/>
      <c r="M12" s="86">
        <f>IF(ISBLANK(K12), "", HLOOKUP(K12,'Ficha inicial'!$AF$1:$AW$2, 2, FALSE))</f>
        <v>1</v>
      </c>
      <c r="N12" s="95">
        <f t="shared" si="1"/>
        <v>1</v>
      </c>
      <c r="O12" s="171"/>
      <c r="P12" s="172"/>
      <c r="Q12" t="s">
        <v>187</v>
      </c>
      <c r="R12">
        <v>2</v>
      </c>
      <c r="S12">
        <v>3</v>
      </c>
      <c r="T12">
        <v>2</v>
      </c>
      <c r="V12" s="121" t="s">
        <v>203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194</v>
      </c>
      <c r="H13" s="107">
        <v>0</v>
      </c>
      <c r="I13" s="63">
        <f>IF(OR(ISBLANK($D$1),  ISBLANK($D$2)),"", HLOOKUP(G13,'Ficha inicial'!$AA$1:$AE$5, 2, FALSE))</f>
        <v>0</v>
      </c>
      <c r="J13" s="91">
        <f>SUM(H13:I13)</f>
        <v>0</v>
      </c>
      <c r="K13" s="86" t="s">
        <v>54</v>
      </c>
      <c r="L13" s="115"/>
      <c r="M13" s="86">
        <f>IF(ISBLANK(K13), "", HLOOKUP(K13,'Ficha inicial'!$AF$1:$AW$2, 2, FALSE))</f>
        <v>1</v>
      </c>
      <c r="N13" s="95">
        <f t="shared" si="1"/>
        <v>1</v>
      </c>
      <c r="O13" s="171"/>
      <c r="P13" s="172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>
        <f>IF(OR(ISBLANK($D$1),  ISBLANK($D$2)),"", HLOOKUP(C14,'Ficha inicial'!$K$1:$Z$5, 2, FALSE))</f>
        <v>1</v>
      </c>
      <c r="F14" s="88">
        <f t="shared" ref="F14:F25" si="2">SUM(D14,E14)</f>
        <v>1</v>
      </c>
      <c r="G14" s="92" t="s">
        <v>193</v>
      </c>
      <c r="H14" s="108">
        <f>R9</f>
        <v>1</v>
      </c>
      <c r="I14" s="92" t="s">
        <v>153</v>
      </c>
      <c r="J14" s="92" t="s">
        <v>127</v>
      </c>
      <c r="K14" s="86"/>
      <c r="L14" s="115"/>
      <c r="M14" s="86" t="str">
        <f>IF(ISBLANK(K14), "", HLOOKUP(K14,'Ficha inicial'!$AF$1:$AW$2, 2, FALSE))</f>
        <v/>
      </c>
      <c r="N14" s="95" t="str">
        <f t="shared" si="1"/>
        <v/>
      </c>
      <c r="O14" s="171"/>
      <c r="P14" s="172"/>
    </row>
    <row r="15" spans="3:25" ht="15" customHeight="1" x14ac:dyDescent="0.25">
      <c r="C15" s="59" t="s">
        <v>19</v>
      </c>
      <c r="D15" s="100">
        <v>0</v>
      </c>
      <c r="E15" s="59">
        <f>IF(OR(ISBLANK($D$1),  ISBLANK($D$2)),"", HLOOKUP(C15,'Ficha inicial'!$K$1:$Z$5, 2, FALSE))</f>
        <v>0</v>
      </c>
      <c r="F15" s="88">
        <f t="shared" si="2"/>
        <v>0</v>
      </c>
      <c r="G15" s="65" t="s">
        <v>57</v>
      </c>
      <c r="H15" s="109">
        <v>0</v>
      </c>
      <c r="I15" s="65">
        <f>IF(ISBLANK(G15), "", HLOOKUP(G15, 'Ficha inicial'!$AX$1:$BT$5, 2, FALSE))</f>
        <v>0</v>
      </c>
      <c r="J15" s="92">
        <f t="shared" ref="J15:J22" si="3">IF(ISBLANK(G15),"",SUM(H15:I15))</f>
        <v>0</v>
      </c>
      <c r="K15" s="86"/>
      <c r="L15" s="115"/>
      <c r="M15" s="86" t="str">
        <f>IF(ISBLANK(K15), "", HLOOKUP(K15,'Ficha inicial'!$AF$1:$AW$2, 2, FALSE))</f>
        <v/>
      </c>
      <c r="N15" s="95" t="str">
        <f t="shared" si="1"/>
        <v/>
      </c>
      <c r="O15" s="173" t="s">
        <v>209</v>
      </c>
      <c r="P15" s="173"/>
    </row>
    <row r="16" spans="3:25" x14ac:dyDescent="0.25">
      <c r="C16" s="59" t="s">
        <v>20</v>
      </c>
      <c r="D16" s="100">
        <v>0</v>
      </c>
      <c r="E16" s="59">
        <f>IF(OR(ISBLANK($D$1),  ISBLANK($D$2)),"", HLOOKUP(C16,'Ficha inicial'!$K$1:$Z$5, 2, FALSE))</f>
        <v>0</v>
      </c>
      <c r="F16" s="88">
        <f t="shared" si="2"/>
        <v>0</v>
      </c>
      <c r="G16" s="65"/>
      <c r="H16" s="109">
        <v>0</v>
      </c>
      <c r="I16" s="65" t="str">
        <f>IF(ISBLANK(G16), "", HLOOKUP(G16, 'Ficha inicial'!$AX$1:$BT$5, 2, FALSE))</f>
        <v/>
      </c>
      <c r="J16" s="92" t="str">
        <f t="shared" si="3"/>
        <v/>
      </c>
      <c r="K16" s="86"/>
      <c r="L16" s="115"/>
      <c r="M16" s="86" t="str">
        <f>IF(ISBLANK(K16), "", HLOOKUP(K16,'Ficha inicial'!$AF$1:$AW$2, 2, FALSE))</f>
        <v/>
      </c>
      <c r="N16" s="95" t="str">
        <f t="shared" si="1"/>
        <v/>
      </c>
      <c r="O16" s="173"/>
      <c r="P16" s="173"/>
    </row>
    <row r="17" spans="3:22" x14ac:dyDescent="0.25">
      <c r="C17" s="59" t="s">
        <v>21</v>
      </c>
      <c r="D17" s="100">
        <v>0</v>
      </c>
      <c r="E17" s="59">
        <f>IF(OR(ISBLANK($D$1),  ISBLANK($D$2)),"", HLOOKUP(C17,'Ficha inicial'!$K$1:$Z$5, 2, FALSE))</f>
        <v>0</v>
      </c>
      <c r="F17" s="88">
        <f t="shared" si="2"/>
        <v>0</v>
      </c>
      <c r="G17" s="65"/>
      <c r="H17" s="109">
        <v>0</v>
      </c>
      <c r="I17" s="65" t="str">
        <f>IF(ISBLANK(G17), "", HLOOKUP(G17, 'Ficha inicial'!$AX$1:$BT$5, 2, FALSE))</f>
        <v/>
      </c>
      <c r="J17" s="92" t="str">
        <f t="shared" si="3"/>
        <v/>
      </c>
      <c r="K17" s="86"/>
      <c r="L17" s="115"/>
      <c r="M17" s="86" t="str">
        <f>IF(ISBLANK(K17), "", HLOOKUP(K17,'Ficha inicial'!$AF$1:$AW$2, 2, FALSE))</f>
        <v/>
      </c>
      <c r="N17" s="95" t="str">
        <f t="shared" si="1"/>
        <v/>
      </c>
      <c r="O17" s="173"/>
      <c r="P17" s="173"/>
    </row>
    <row r="18" spans="3:22" x14ac:dyDescent="0.25">
      <c r="C18" s="4" t="s">
        <v>205</v>
      </c>
      <c r="D18" s="100">
        <v>0</v>
      </c>
      <c r="E18" s="59">
        <f>IF(OR(ISBLANK($D$1),  ISBLANK($D$2)),"", HLOOKUP(C18,'Ficha inicial'!$K$1:$Z$5, 2, FALSE))</f>
        <v>0</v>
      </c>
      <c r="F18" s="168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92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173"/>
      <c r="P18" s="173"/>
    </row>
    <row r="19" spans="3:22" x14ac:dyDescent="0.25">
      <c r="C19" s="4" t="s">
        <v>22</v>
      </c>
      <c r="D19" s="100">
        <v>0</v>
      </c>
      <c r="E19" s="59">
        <f>IF(OR(ISBLANK($D$1),  ISBLANK($D$2)),"", HLOOKUP(C19,'Ficha inicial'!$K$1:$Z$5, 2, FALSE))</f>
        <v>0</v>
      </c>
      <c r="F19" s="168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92" t="str">
        <f t="shared" si="3"/>
        <v/>
      </c>
      <c r="K19" s="68" t="str">
        <f>'Ficha inicial'!DF1</f>
        <v>Equitación</v>
      </c>
      <c r="L19" s="111">
        <v>0</v>
      </c>
      <c r="M19" s="68">
        <f>IF(OR(ISBLANK($D$1),  ISBLANK($D$2)),"",HLOOKUP(K19,'Ficha inicial'!$DF$1:$DK$2,2,FALSE))</f>
        <v>0</v>
      </c>
      <c r="N19" s="93">
        <f t="shared" ref="N19:N24" si="4">IF(ISBLANK(K19),"",SUM(L19:M19))</f>
        <v>0</v>
      </c>
      <c r="O19" s="173"/>
      <c r="P19" s="173"/>
    </row>
    <row r="20" spans="3:22" ht="15" customHeight="1" x14ac:dyDescent="0.25">
      <c r="C20" s="5" t="s">
        <v>23</v>
      </c>
      <c r="D20" s="122">
        <v>0</v>
      </c>
      <c r="E20" s="5">
        <f>IF(OR(ISBLANK($D$1),  ISBLANK($D$2)),"", HLOOKUP(C20,'Ficha inicial'!$K$1:$Z$5, 2, FALSE))</f>
        <v>0</v>
      </c>
      <c r="F20" s="169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92" t="str">
        <f t="shared" si="3"/>
        <v/>
      </c>
      <c r="K20" s="68" t="str">
        <f>'Ficha inicial'!DG1</f>
        <v>Pesca</v>
      </c>
      <c r="L20" s="111">
        <v>0</v>
      </c>
      <c r="M20" s="68">
        <f>IF(OR(ISBLANK($D$1),  ISBLANK($D$2)),"",HLOOKUP(K20,'Ficha inicial'!$DF$1:$DK$2,2,FALSE))</f>
        <v>0</v>
      </c>
      <c r="N20" s="93">
        <f t="shared" si="4"/>
        <v>0</v>
      </c>
    </row>
    <row r="21" spans="3:22" x14ac:dyDescent="0.25">
      <c r="C21" s="5" t="s">
        <v>24</v>
      </c>
      <c r="D21" s="122">
        <v>0</v>
      </c>
      <c r="E21" s="5">
        <f>IF(OR(ISBLANK($D$1),  ISBLANK($D$2)),"", HLOOKUP(C21,'Ficha inicial'!$K$1:$Z$5, 2, FALSE))</f>
        <v>1</v>
      </c>
      <c r="F21" s="169">
        <f t="shared" si="2"/>
        <v>1</v>
      </c>
      <c r="G21" s="65"/>
      <c r="H21" s="109"/>
      <c r="I21" s="65" t="str">
        <f>IF(ISBLANK(G21), "", HLOOKUP(G21, 'Ficha inicial'!$AX$1:$BT$5, 2, FALSE))</f>
        <v/>
      </c>
      <c r="J21" s="92" t="str">
        <f t="shared" si="3"/>
        <v/>
      </c>
      <c r="K21" s="68" t="str">
        <f>'Ficha inicial'!DH1</f>
        <v>Arqueología</v>
      </c>
      <c r="L21" s="111">
        <v>0</v>
      </c>
      <c r="M21" s="68">
        <f>IF(OR(ISBLANK($D$1),  ISBLANK($D$2)),"",HLOOKUP(K21,'Ficha inicial'!$DF$1:$DK$2,2,FALSE))</f>
        <v>0</v>
      </c>
      <c r="N21" s="93">
        <f t="shared" si="4"/>
        <v>0</v>
      </c>
    </row>
    <row r="22" spans="3:22" x14ac:dyDescent="0.25">
      <c r="C22" s="5" t="s">
        <v>25</v>
      </c>
      <c r="D22" s="122">
        <v>0</v>
      </c>
      <c r="E22" s="5">
        <f>IF(OR(ISBLANK($D$1),  ISBLANK($D$2)),"", HLOOKUP(C22,'Ficha inicial'!$K$1:$Z$5, 2, FALSE))</f>
        <v>0</v>
      </c>
      <c r="F22" s="169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92" t="str">
        <f t="shared" si="3"/>
        <v/>
      </c>
      <c r="K22" s="68" t="str">
        <f>'Ficha inicial'!DI1</f>
        <v>Medicina</v>
      </c>
      <c r="L22" s="111">
        <v>0</v>
      </c>
      <c r="M22" s="68">
        <f>IF(OR(ISBLANK($D$1),  ISBLANK($D$2)),"",HLOOKUP(K22,'Ficha inicial'!$DF$1:$DK$2,2,FALSE))</f>
        <v>1</v>
      </c>
      <c r="N22" s="93">
        <f t="shared" si="4"/>
        <v>1</v>
      </c>
    </row>
    <row r="23" spans="3:22" x14ac:dyDescent="0.25">
      <c r="C23" s="6" t="s">
        <v>26</v>
      </c>
      <c r="D23" s="123">
        <v>0</v>
      </c>
      <c r="E23" s="6">
        <f>IF(OR(ISBLANK($D$1),  ISBLANK($D$2)),"", HLOOKUP(C23,'Ficha inicial'!$K$1:$Z$5, 2, FALSE))</f>
        <v>0</v>
      </c>
      <c r="F23" s="170">
        <f t="shared" si="2"/>
        <v>0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>
        <f>IF(OR(ISBLANK($D$1),  ISBLANK($D$2)),"",HLOOKUP(K23,'Ficha inicial'!$DF$1:$DK$2,2,FALSE))</f>
        <v>0</v>
      </c>
      <c r="N23" s="93">
        <f t="shared" si="4"/>
        <v>0</v>
      </c>
    </row>
    <row r="24" spans="3:22" x14ac:dyDescent="0.25">
      <c r="C24" s="6" t="s">
        <v>27</v>
      </c>
      <c r="D24" s="123">
        <v>0</v>
      </c>
      <c r="E24" s="6">
        <f>IF(OR(ISBLANK($D$1),  ISBLANK($D$2)),"", HLOOKUP(C24,'Ficha inicial'!$K$1:$Z$5, 2, FALSE))</f>
        <v>0</v>
      </c>
      <c r="F24" s="170">
        <f t="shared" si="2"/>
        <v>0</v>
      </c>
      <c r="G24" s="66" t="s">
        <v>73</v>
      </c>
      <c r="H24" s="113">
        <v>0</v>
      </c>
      <c r="I24" s="66">
        <f>IF(ISBLANK(G24), "", HLOOKUP(G24,'Ficha inicial'!$BU$1:$CL$5, 2, FALSE))</f>
        <v>1</v>
      </c>
      <c r="J24" s="94">
        <f t="shared" ref="J24:J31" si="5">IF(ISBLANK(G24),"",SUM(H24:I24))</f>
        <v>1</v>
      </c>
      <c r="K24" s="68" t="str">
        <f>'Ficha inicial'!DK1</f>
        <v>Conocimiento de la magia</v>
      </c>
      <c r="L24" s="111">
        <v>0</v>
      </c>
      <c r="M24" s="68">
        <f>IF(OR(ISBLANK($D$1),  ISBLANK($D$2)),"",HLOOKUP(K24,'Ficha inicial'!$DF$1:$DK$2,2,FALSE))</f>
        <v>0</v>
      </c>
      <c r="N24" s="93">
        <f t="shared" si="4"/>
        <v>0</v>
      </c>
    </row>
    <row r="25" spans="3:22" ht="15" customHeight="1" x14ac:dyDescent="0.25">
      <c r="C25" s="6" t="s">
        <v>28</v>
      </c>
      <c r="D25" s="123">
        <v>0</v>
      </c>
      <c r="E25" s="6">
        <f>IF(OR(ISBLANK($D$1),  ISBLANK($D$2)),"", HLOOKUP(C25,'Ficha inicial'!$K$1:$Z$5, 2, FALSE))</f>
        <v>0</v>
      </c>
      <c r="F25" s="170">
        <f t="shared" si="2"/>
        <v>0</v>
      </c>
      <c r="G25" s="66" t="s">
        <v>74</v>
      </c>
      <c r="H25" s="113">
        <v>0</v>
      </c>
      <c r="I25" s="66">
        <f>IF(ISBLANK(G25), "", HLOOKUP(G25,'Ficha inicial'!$BU$1:$CL$5, 2, FALSE))</f>
        <v>1</v>
      </c>
      <c r="J25" s="94">
        <f t="shared" si="5"/>
        <v>1</v>
      </c>
      <c r="K25" s="96" t="s">
        <v>150</v>
      </c>
      <c r="L25" s="116">
        <f>R12</f>
        <v>2</v>
      </c>
      <c r="M25" s="96" t="s">
        <v>153</v>
      </c>
      <c r="N25" s="96" t="s">
        <v>127</v>
      </c>
    </row>
    <row r="26" spans="3:22" x14ac:dyDescent="0.25">
      <c r="C26" s="6" t="s">
        <v>204</v>
      </c>
      <c r="D26" s="123">
        <v>0</v>
      </c>
      <c r="E26" s="6">
        <f>IF(OR(ISBLANK($D$1),  ISBLANK($D$2)),"", HLOOKUP(C26,'Ficha inicial'!$K$1:$Z$5, 2, FALSE))</f>
        <v>1</v>
      </c>
      <c r="F26" s="170">
        <f t="shared" ref="F26" si="6">SUM(D26,E26)</f>
        <v>1</v>
      </c>
      <c r="G26" s="66" t="s">
        <v>75</v>
      </c>
      <c r="H26" s="113">
        <v>0</v>
      </c>
      <c r="I26" s="66">
        <f>IF(ISBLANK(G26), "", HLOOKUP(G26,'Ficha inicial'!$BU$1:$CL$5, 2, FALSE))</f>
        <v>1</v>
      </c>
      <c r="J26" s="94">
        <f t="shared" si="5"/>
        <v>1</v>
      </c>
      <c r="K26" s="67" t="s">
        <v>102</v>
      </c>
      <c r="L26" s="117">
        <v>0</v>
      </c>
      <c r="M26" s="67">
        <f>IF(ISBLANK(K26), "", HLOOKUP(K26,'Ficha inicial'!$CM$1:$DE$5, 2, FALSE))</f>
        <v>1</v>
      </c>
      <c r="N26" s="96">
        <f>IF(ISBLANK(K26),"",SUM(L26:M26))</f>
        <v>1</v>
      </c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94" t="str">
        <f t="shared" si="5"/>
        <v/>
      </c>
      <c r="K27" s="67" t="s">
        <v>112</v>
      </c>
      <c r="L27" s="117">
        <v>0</v>
      </c>
      <c r="M27" s="67">
        <f>IF(ISBLANK(K27), "", HLOOKUP(K27,'Ficha inicial'!$CM$1:$DE$5, 2, FALSE))</f>
        <v>1</v>
      </c>
      <c r="N27" s="96">
        <f>IF(ISBLANK(K27),"",SUM(L27:M27))</f>
        <v>1</v>
      </c>
      <c r="V27" s="124"/>
    </row>
    <row r="28" spans="3:22" x14ac:dyDescent="0.25">
      <c r="C28" s="69" t="s">
        <v>121</v>
      </c>
      <c r="D28" s="102">
        <v>0</v>
      </c>
      <c r="E28" s="69">
        <f>IF(OR(ISBLANK($D$1),  ISBLANK($D$2)),"", HLOOKUP(C28,'Ficha inicial'!$DL$1:$DS$5,2,FALSE))</f>
        <v>1</v>
      </c>
      <c r="F28" s="89">
        <f t="shared" ref="F28:F32" si="7">SUM(D28:E28)</f>
        <v>1</v>
      </c>
      <c r="G28" s="66"/>
      <c r="H28" s="113">
        <v>0</v>
      </c>
      <c r="I28" s="66" t="str">
        <f>IF(ISBLANK(G28), "", HLOOKUP(G28,'Ficha inicial'!$BU$1:$CL$5, 2, FALSE))</f>
        <v/>
      </c>
      <c r="J28" s="94" t="str">
        <f t="shared" si="5"/>
        <v/>
      </c>
      <c r="K28" s="67"/>
      <c r="L28" s="117">
        <v>0</v>
      </c>
      <c r="M28" s="67" t="str">
        <f>IF(ISBLANK(K28), "", HLOOKUP(K28,'Ficha inicial'!$CM$1:$DE$5, 2, FALSE))</f>
        <v/>
      </c>
      <c r="N28" s="96" t="str">
        <f>IF(ISBLANK(K28),"",SUM(L28:M28))</f>
        <v/>
      </c>
      <c r="V28" s="124"/>
    </row>
    <row r="29" spans="3:22" x14ac:dyDescent="0.25">
      <c r="C29" s="69" t="s">
        <v>210</v>
      </c>
      <c r="D29" s="102">
        <v>0</v>
      </c>
      <c r="E29" s="69">
        <f>IF(OR(ISBLANK($D$1),  ISBLANK($D$2)),"", HLOOKUP(C29,'Ficha inicial'!$DL$1:$DS$5,2,FALSE))</f>
        <v>0</v>
      </c>
      <c r="F29" s="8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94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96" t="str">
        <f t="shared" ref="N29:N31" si="8">IF(ISBLANK(K29),"",SUM(L29:M29))</f>
        <v/>
      </c>
      <c r="V29" s="124"/>
    </row>
    <row r="30" spans="3:22" x14ac:dyDescent="0.25">
      <c r="C30" s="69" t="s">
        <v>122</v>
      </c>
      <c r="D30" s="102">
        <v>0</v>
      </c>
      <c r="E30" s="69">
        <f>IF(OR(ISBLANK($D$1),  ISBLANK($D$2)),"", HLOOKUP(C30,'Ficha inicial'!$DL$1:$DS$5,2,FALSE))</f>
        <v>0</v>
      </c>
      <c r="F30" s="89">
        <f t="shared" si="7"/>
        <v>0</v>
      </c>
      <c r="G30" s="66"/>
      <c r="H30" s="113">
        <v>0</v>
      </c>
      <c r="I30" s="66" t="str">
        <f>IF(ISBLANK(G30), "", HLOOKUP(G30,'Ficha inicial'!$BU$1:$CL$5, 2, FALSE))</f>
        <v/>
      </c>
      <c r="J30" s="94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96" t="str">
        <f t="shared" si="8"/>
        <v/>
      </c>
      <c r="V30" s="124"/>
    </row>
    <row r="31" spans="3:22" x14ac:dyDescent="0.25">
      <c r="C31" s="69" t="s">
        <v>123</v>
      </c>
      <c r="D31" s="102">
        <v>0</v>
      </c>
      <c r="E31" s="69">
        <f>IF(OR(ISBLANK($D$1),  ISBLANK($D$2)),"", HLOOKUP(C31,'Ficha inicial'!$DL$1:$DS$5,2,FALSE))</f>
        <v>0</v>
      </c>
      <c r="F31" s="89">
        <f t="shared" si="7"/>
        <v>0</v>
      </c>
      <c r="G31" s="66"/>
      <c r="H31" s="113">
        <v>0</v>
      </c>
      <c r="I31" s="66" t="str">
        <f>IF(ISBLANK(G31), "", HLOOKUP(G31,'Ficha inicial'!$BU$1:$CL$5, 2, FALSE))</f>
        <v/>
      </c>
      <c r="J31" s="94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96" t="str">
        <f t="shared" si="8"/>
        <v/>
      </c>
      <c r="V31" s="124"/>
    </row>
    <row r="32" spans="3:22" x14ac:dyDescent="0.25">
      <c r="C32" s="69" t="s">
        <v>237</v>
      </c>
      <c r="D32" s="102">
        <v>0</v>
      </c>
      <c r="E32" s="69">
        <f>IF(OR(ISBLANK($D$1),  ISBLANK($D$2)),"", HLOOKUP(C32,'Ficha inicial'!$DL$1:$DS$5,2,FALSE))</f>
        <v>0</v>
      </c>
      <c r="F32" s="89">
        <f t="shared" si="7"/>
        <v>0</v>
      </c>
    </row>
    <row r="33" spans="3:6" x14ac:dyDescent="0.25">
      <c r="C33" s="69" t="s">
        <v>124</v>
      </c>
      <c r="D33" s="102">
        <v>0</v>
      </c>
      <c r="E33" s="69">
        <f>IF(OR(ISBLANK($D$1),  ISBLANK($D$2)),"", HLOOKUP(C33,'Ficha inicial'!$DL$1:$DS$5,2,FALSE))</f>
        <v>0</v>
      </c>
      <c r="F33" s="89">
        <f>SUM(D33:E33)</f>
        <v>0</v>
      </c>
    </row>
    <row r="34" spans="3:6" x14ac:dyDescent="0.25">
      <c r="C34" s="69" t="s">
        <v>125</v>
      </c>
      <c r="D34" s="102">
        <v>0</v>
      </c>
      <c r="E34" s="69">
        <f>IF(OR(ISBLANK($D$1),  ISBLANK($D$2)),"", HLOOKUP(C34,'Ficha inicial'!$DL$1:$DS$5,2,FALSE))</f>
        <v>0</v>
      </c>
      <c r="F34" s="89">
        <f>SUM(D34:E34)</f>
        <v>0</v>
      </c>
    </row>
    <row r="35" spans="3:6" x14ac:dyDescent="0.25">
      <c r="C35" s="69" t="s">
        <v>126</v>
      </c>
      <c r="D35" s="102">
        <v>0</v>
      </c>
      <c r="E35" s="69">
        <f>IF(OR(ISBLANK($D$1),  ISBLANK($D$2)),"", HLOOKUP(C35,'Ficha inicial'!$DL$1:$DS$5,2,FALSE))</f>
        <v>1</v>
      </c>
      <c r="F35" s="89">
        <f>SUM(D35:E35)</f>
        <v>1</v>
      </c>
    </row>
  </sheetData>
  <protectedRanges>
    <protectedRange sqref="D1:F2" name="Rango5"/>
    <protectedRange sqref="G15:G22" name="Rango1"/>
    <protectedRange sqref="G24:G31" name="Rango2"/>
    <protectedRange sqref="K5:K17" name="Rango3"/>
    <protectedRange sqref="K26:K31" name="Rango4"/>
  </protectedRanges>
  <mergeCells count="6">
    <mergeCell ref="O5:P9"/>
    <mergeCell ref="O10:P14"/>
    <mergeCell ref="O15:P19"/>
    <mergeCell ref="X4:Y4"/>
    <mergeCell ref="D1:G1"/>
    <mergeCell ref="D2:G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571500</xdr:colOff>
                    <xdr:row>18</xdr:row>
                    <xdr:rowOff>9525</xdr:rowOff>
                  </from>
                  <to>
                    <xdr:col>11</xdr:col>
                    <xdr:colOff>752475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1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2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3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4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6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7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8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9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0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1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2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3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4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5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6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7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8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9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0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1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2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3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94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5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6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7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8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9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0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1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2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3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4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5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6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7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8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9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0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1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2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3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4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5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6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7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8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9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0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1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2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3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5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6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7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8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9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0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1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2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3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4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5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6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37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8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9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0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1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2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3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4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5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6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47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48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49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0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1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2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3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4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5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6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57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58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59" name="Button 205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0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1" name="Button 207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2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3" name="Button 209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4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5" name="Button 211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6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67" name="Button 213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68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1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2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3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4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85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86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87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88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89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90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91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92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93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94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95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96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7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98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99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00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1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02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03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04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05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06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07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08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09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10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11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12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13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14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15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16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17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18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19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20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21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22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23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24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25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26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27" name="Button 319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28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29" name="Button 32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0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31" name="Button 323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32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33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34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35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36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37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38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39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0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1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2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3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4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45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46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47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48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49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50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51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52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3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54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55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56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57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58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59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60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61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62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63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64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65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66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67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68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69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70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71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72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73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74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75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76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77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78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79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80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81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82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83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84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85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86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87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88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89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90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91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92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93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94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5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96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97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98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99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00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01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02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V40"/>
  <sheetViews>
    <sheetView zoomScaleNormal="100" workbookViewId="0">
      <selection sqref="A1:XFD1048576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</cols>
  <sheetData>
    <row r="1" spans="1:126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194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</row>
    <row r="2" spans="1:126" x14ac:dyDescent="0.25">
      <c r="A2" t="s">
        <v>127</v>
      </c>
      <c r="B2">
        <f>SUM(B3:B4)</f>
        <v>33</v>
      </c>
      <c r="C2" s="58">
        <f t="shared" ref="C2:J2" si="0">SUM(C3:C5)</f>
        <v>2</v>
      </c>
      <c r="D2" s="58">
        <f t="shared" si="0"/>
        <v>3</v>
      </c>
      <c r="E2" s="58">
        <f t="shared" si="0"/>
        <v>1</v>
      </c>
      <c r="F2" s="58">
        <f t="shared" si="0"/>
        <v>1</v>
      </c>
      <c r="G2" s="58">
        <f t="shared" si="0"/>
        <v>1</v>
      </c>
      <c r="H2" s="58">
        <f t="shared" si="0"/>
        <v>2</v>
      </c>
      <c r="I2" s="58">
        <f t="shared" si="0"/>
        <v>2</v>
      </c>
      <c r="J2" s="58">
        <f t="shared" si="0"/>
        <v>1</v>
      </c>
      <c r="K2" s="59">
        <f t="shared" ref="K2:AP2" si="1">SUM(K3:K4)</f>
        <v>1</v>
      </c>
      <c r="L2" s="59">
        <f t="shared" si="1"/>
        <v>0</v>
      </c>
      <c r="M2" s="59">
        <f t="shared" si="1"/>
        <v>0</v>
      </c>
      <c r="N2" s="59">
        <f t="shared" si="1"/>
        <v>0</v>
      </c>
      <c r="O2" s="59">
        <f t="shared" si="1"/>
        <v>0</v>
      </c>
      <c r="P2" s="59">
        <f t="shared" si="1"/>
        <v>0</v>
      </c>
      <c r="Q2" s="60">
        <f t="shared" si="1"/>
        <v>0</v>
      </c>
      <c r="R2" s="60">
        <f t="shared" si="1"/>
        <v>1</v>
      </c>
      <c r="S2" s="60">
        <f t="shared" si="1"/>
        <v>0</v>
      </c>
      <c r="T2" s="61">
        <f t="shared" si="1"/>
        <v>0</v>
      </c>
      <c r="U2" s="61">
        <f t="shared" si="1"/>
        <v>0</v>
      </c>
      <c r="V2" s="61">
        <f t="shared" si="1"/>
        <v>0</v>
      </c>
      <c r="W2" s="61">
        <f t="shared" si="1"/>
        <v>1</v>
      </c>
      <c r="X2" s="62">
        <f t="shared" si="1"/>
        <v>1</v>
      </c>
      <c r="Y2" s="62">
        <f t="shared" si="1"/>
        <v>0</v>
      </c>
      <c r="Z2" s="62">
        <f t="shared" si="1"/>
        <v>0</v>
      </c>
      <c r="AA2" s="63">
        <f t="shared" si="1"/>
        <v>0</v>
      </c>
      <c r="AB2" s="63">
        <f t="shared" si="1"/>
        <v>1</v>
      </c>
      <c r="AC2" s="63">
        <f t="shared" si="1"/>
        <v>0</v>
      </c>
      <c r="AD2" s="63">
        <f t="shared" si="1"/>
        <v>0</v>
      </c>
      <c r="AE2" s="63">
        <f t="shared" si="1"/>
        <v>0</v>
      </c>
      <c r="AF2" s="64">
        <f t="shared" si="1"/>
        <v>2</v>
      </c>
      <c r="AG2" s="64">
        <f t="shared" si="1"/>
        <v>2</v>
      </c>
      <c r="AH2" s="64">
        <f t="shared" si="1"/>
        <v>2</v>
      </c>
      <c r="AI2" s="64">
        <f t="shared" si="1"/>
        <v>2</v>
      </c>
      <c r="AJ2" s="64">
        <f t="shared" si="1"/>
        <v>1</v>
      </c>
      <c r="AK2" s="64">
        <f t="shared" si="1"/>
        <v>1</v>
      </c>
      <c r="AL2" s="64">
        <f t="shared" si="1"/>
        <v>0</v>
      </c>
      <c r="AM2" s="64">
        <f t="shared" si="1"/>
        <v>0</v>
      </c>
      <c r="AN2" s="64">
        <f t="shared" si="1"/>
        <v>0</v>
      </c>
      <c r="AO2" s="64">
        <f t="shared" si="1"/>
        <v>0</v>
      </c>
      <c r="AP2" s="64">
        <f t="shared" si="1"/>
        <v>0</v>
      </c>
      <c r="AQ2" s="64">
        <f t="shared" ref="AQ2:BV2" si="2">SUM(AQ3:AQ4)</f>
        <v>0</v>
      </c>
      <c r="AR2" s="64">
        <f t="shared" si="2"/>
        <v>0</v>
      </c>
      <c r="AS2" s="64">
        <f t="shared" si="2"/>
        <v>0</v>
      </c>
      <c r="AT2" s="64">
        <f t="shared" si="2"/>
        <v>1</v>
      </c>
      <c r="AU2" s="64">
        <f t="shared" si="2"/>
        <v>1</v>
      </c>
      <c r="AV2" s="64">
        <f t="shared" si="2"/>
        <v>1</v>
      </c>
      <c r="AW2" s="64">
        <f t="shared" si="2"/>
        <v>0</v>
      </c>
      <c r="AX2" s="65">
        <f t="shared" si="2"/>
        <v>0</v>
      </c>
      <c r="AY2" s="65">
        <f t="shared" si="2"/>
        <v>0</v>
      </c>
      <c r="AZ2" s="65">
        <f t="shared" si="2"/>
        <v>0</v>
      </c>
      <c r="BA2" s="65">
        <f t="shared" si="2"/>
        <v>0</v>
      </c>
      <c r="BB2" s="65">
        <f t="shared" si="2"/>
        <v>0</v>
      </c>
      <c r="BC2" s="65">
        <f t="shared" si="2"/>
        <v>0</v>
      </c>
      <c r="BD2" s="65">
        <f t="shared" si="2"/>
        <v>0</v>
      </c>
      <c r="BE2" s="65">
        <f t="shared" si="2"/>
        <v>0</v>
      </c>
      <c r="BF2" s="65">
        <f t="shared" si="2"/>
        <v>0</v>
      </c>
      <c r="BG2" s="65">
        <f t="shared" si="2"/>
        <v>0</v>
      </c>
      <c r="BH2" s="65">
        <f t="shared" si="2"/>
        <v>0</v>
      </c>
      <c r="BI2" s="65">
        <f t="shared" si="2"/>
        <v>0</v>
      </c>
      <c r="BJ2" s="65">
        <f t="shared" si="2"/>
        <v>0</v>
      </c>
      <c r="BK2" s="65">
        <f t="shared" si="2"/>
        <v>0</v>
      </c>
      <c r="BL2" s="65">
        <f t="shared" si="2"/>
        <v>0</v>
      </c>
      <c r="BM2" s="65">
        <f t="shared" si="2"/>
        <v>0</v>
      </c>
      <c r="BN2" s="65">
        <f t="shared" si="2"/>
        <v>0</v>
      </c>
      <c r="BO2" s="65">
        <f t="shared" si="2"/>
        <v>0</v>
      </c>
      <c r="BP2" s="65">
        <f t="shared" si="2"/>
        <v>0</v>
      </c>
      <c r="BQ2" s="65">
        <f t="shared" si="2"/>
        <v>0</v>
      </c>
      <c r="BR2" s="65">
        <f t="shared" si="2"/>
        <v>0</v>
      </c>
      <c r="BS2" s="65">
        <f t="shared" si="2"/>
        <v>0</v>
      </c>
      <c r="BT2" s="65">
        <f t="shared" si="2"/>
        <v>0</v>
      </c>
      <c r="BU2" s="66">
        <f t="shared" si="2"/>
        <v>1</v>
      </c>
      <c r="BV2" s="66">
        <f t="shared" si="2"/>
        <v>1</v>
      </c>
      <c r="BW2" s="66">
        <f t="shared" ref="BW2:DB2" si="3">SUM(BW3:BW4)</f>
        <v>1</v>
      </c>
      <c r="BX2" s="66">
        <f t="shared" si="3"/>
        <v>0</v>
      </c>
      <c r="BY2" s="66">
        <f t="shared" si="3"/>
        <v>0</v>
      </c>
      <c r="BZ2" s="66">
        <f t="shared" si="3"/>
        <v>0</v>
      </c>
      <c r="CA2" s="66">
        <f t="shared" si="3"/>
        <v>0</v>
      </c>
      <c r="CB2" s="66">
        <f t="shared" si="3"/>
        <v>0</v>
      </c>
      <c r="CC2" s="66">
        <f t="shared" si="3"/>
        <v>0</v>
      </c>
      <c r="CD2" s="66">
        <f t="shared" si="3"/>
        <v>0</v>
      </c>
      <c r="CE2" s="66">
        <f t="shared" si="3"/>
        <v>0</v>
      </c>
      <c r="CF2" s="66">
        <f t="shared" si="3"/>
        <v>0</v>
      </c>
      <c r="CG2" s="66">
        <f t="shared" si="3"/>
        <v>0</v>
      </c>
      <c r="CH2" s="66">
        <f t="shared" si="3"/>
        <v>0</v>
      </c>
      <c r="CI2" s="66">
        <f t="shared" si="3"/>
        <v>0</v>
      </c>
      <c r="CJ2" s="66">
        <f t="shared" si="3"/>
        <v>0</v>
      </c>
      <c r="CK2" s="66">
        <f t="shared" si="3"/>
        <v>0</v>
      </c>
      <c r="CL2" s="66">
        <f t="shared" si="3"/>
        <v>0</v>
      </c>
      <c r="CM2" s="67">
        <f t="shared" si="3"/>
        <v>0</v>
      </c>
      <c r="CN2" s="67">
        <f t="shared" si="3"/>
        <v>0</v>
      </c>
      <c r="CO2" s="67">
        <f t="shared" si="3"/>
        <v>0</v>
      </c>
      <c r="CP2" s="67">
        <f t="shared" si="3"/>
        <v>0</v>
      </c>
      <c r="CQ2" s="67">
        <f t="shared" si="3"/>
        <v>0</v>
      </c>
      <c r="CR2" s="67">
        <f t="shared" si="3"/>
        <v>0</v>
      </c>
      <c r="CS2" s="67">
        <f t="shared" si="3"/>
        <v>1</v>
      </c>
      <c r="CT2" s="67">
        <f t="shared" si="3"/>
        <v>0</v>
      </c>
      <c r="CU2" s="67">
        <f t="shared" si="3"/>
        <v>0</v>
      </c>
      <c r="CV2" s="67">
        <f t="shared" si="3"/>
        <v>0</v>
      </c>
      <c r="CW2" s="67">
        <f t="shared" si="3"/>
        <v>0</v>
      </c>
      <c r="CX2" s="67">
        <f t="shared" si="3"/>
        <v>0</v>
      </c>
      <c r="CY2" s="67">
        <f t="shared" si="3"/>
        <v>0</v>
      </c>
      <c r="CZ2" s="67">
        <f t="shared" si="3"/>
        <v>0</v>
      </c>
      <c r="DA2" s="67">
        <f t="shared" si="3"/>
        <v>0</v>
      </c>
      <c r="DB2" s="67">
        <f t="shared" si="3"/>
        <v>0</v>
      </c>
      <c r="DC2" s="67">
        <f t="shared" ref="DC2:DU2" si="4">SUM(DC3:DC4)</f>
        <v>1</v>
      </c>
      <c r="DD2" s="67">
        <f t="shared" si="4"/>
        <v>0</v>
      </c>
      <c r="DE2" s="67">
        <f t="shared" si="4"/>
        <v>0</v>
      </c>
      <c r="DF2" s="68">
        <f t="shared" si="4"/>
        <v>0</v>
      </c>
      <c r="DG2" s="68">
        <f t="shared" si="4"/>
        <v>0</v>
      </c>
      <c r="DH2" s="68">
        <f t="shared" si="4"/>
        <v>0</v>
      </c>
      <c r="DI2" s="68">
        <f t="shared" si="4"/>
        <v>1</v>
      </c>
      <c r="DJ2" s="68">
        <f t="shared" si="4"/>
        <v>0</v>
      </c>
      <c r="DK2" s="68">
        <f t="shared" si="4"/>
        <v>0</v>
      </c>
      <c r="DL2" s="69">
        <f t="shared" si="4"/>
        <v>1</v>
      </c>
      <c r="DM2" s="69">
        <f t="shared" si="4"/>
        <v>0</v>
      </c>
      <c r="DN2" s="69">
        <f t="shared" si="4"/>
        <v>0</v>
      </c>
      <c r="DO2" s="69">
        <f t="shared" si="4"/>
        <v>0</v>
      </c>
      <c r="DP2" s="69">
        <f t="shared" si="4"/>
        <v>0</v>
      </c>
      <c r="DQ2" s="69">
        <f t="shared" ref="DQ2" si="5">SUM(DQ3:DQ4)</f>
        <v>0</v>
      </c>
      <c r="DR2" s="69">
        <f>SUM(DR3:DR4)</f>
        <v>0</v>
      </c>
      <c r="DS2" s="69">
        <f>SUM(DS3:DS4)</f>
        <v>1</v>
      </c>
      <c r="DT2">
        <f t="shared" si="4"/>
        <v>0</v>
      </c>
      <c r="DU2">
        <f t="shared" si="4"/>
        <v>0</v>
      </c>
      <c r="DV2">
        <f>'Raciales Especiales'!B2</f>
        <v>3</v>
      </c>
    </row>
    <row r="3" spans="1:126" x14ac:dyDescent="0.25">
      <c r="A3" t="str">
        <f>'Ficha completa'!D1</f>
        <v>Humano de Lordaeron</v>
      </c>
      <c r="B3">
        <f>VLOOKUP($A$3,Razas!$A$2:$DV$39,COLUMN(B3)-COLUMN($B$3)+2,FALSE)</f>
        <v>13</v>
      </c>
      <c r="C3" s="58">
        <f>VLOOKUP($A$3,Razas!$A$2:$DU$39,COLUMN(C3)-COLUMN($B$3)+2,FALSE)</f>
        <v>0</v>
      </c>
      <c r="D3" s="58">
        <f>VLOOKUP($A$3,Razas!$A$2:$DU$39,COLUMN(D3)-COLUMN($B$3)+2,FALSE)</f>
        <v>1</v>
      </c>
      <c r="E3" s="58">
        <f>VLOOKUP($A$3,Razas!$A$2:$DU$39,COLUMN(E3)-COLUMN($B$3)+2,FALSE)</f>
        <v>0</v>
      </c>
      <c r="F3" s="58">
        <f>VLOOKUP($A$3,Razas!$A$2:$DU$39,COLUMN(F3)-COLUMN($B$3)+2,FALSE)</f>
        <v>0</v>
      </c>
      <c r="G3" s="58">
        <f>VLOOKUP($A$3,Razas!$A$2:$DU$39,COLUMN(G3)-COLUMN($B$3)+2,FALSE)</f>
        <v>0</v>
      </c>
      <c r="H3" s="58">
        <f>VLOOKUP($A$3,Razas!$A$2:$DU$39,COLUMN(H3)-COLUMN($B$3)+2,FALSE)</f>
        <v>1</v>
      </c>
      <c r="I3" s="58">
        <f>VLOOKUP($A$3,Razas!$A$2:$DU$39,COLUMN(I3)-COLUMN($B$3)+2,FALSE)</f>
        <v>0</v>
      </c>
      <c r="J3" s="58">
        <f>VLOOKUP($A$3,Razas!$A$2:$DU$39,COLUMN(J3)-COLUMN($B$3)+2,FALSE)</f>
        <v>0</v>
      </c>
      <c r="K3" s="59">
        <f>VLOOKUP($A$3,Razas!$A$2:$DU$39,COLUMN(K3)-COLUMN($B$3)+2,FALSE)</f>
        <v>0</v>
      </c>
      <c r="L3" s="59">
        <f>VLOOKUP($A$3,Razas!$A$2:$DU$39,COLUMN(L3)-COLUMN($B$3)+2,FALSE)</f>
        <v>0</v>
      </c>
      <c r="M3" s="59">
        <f>VLOOKUP($A$3,Razas!$A$2:$DU$39,COLUMN(M3)-COLUMN($B$3)+2,FALSE)</f>
        <v>0</v>
      </c>
      <c r="N3" s="59">
        <f>VLOOKUP($A$3,Razas!$A$2:$DU$39,COLUMN(N3)-COLUMN($B$3)+2,FALSE)</f>
        <v>0</v>
      </c>
      <c r="O3" s="59">
        <f>VLOOKUP($A$3,Razas!$A$2:$DU$39,COLUMN(O3)-COLUMN($B$3)+2,FALSE)</f>
        <v>0</v>
      </c>
      <c r="P3" s="59">
        <f>VLOOKUP($A$3,Razas!$A$2:$DU$39,COLUMN(P3)-COLUMN($B$3)+2,FALSE)</f>
        <v>0</v>
      </c>
      <c r="Q3" s="60">
        <f>VLOOKUP($A$3,Razas!$A$2:$DU$39,COLUMN(Q3)-COLUMN($B$3)+2,FALSE)</f>
        <v>0</v>
      </c>
      <c r="R3" s="60">
        <f>VLOOKUP($A$3,Razas!$A$2:$DU$39,COLUMN(R3)-COLUMN($B$3)+2,FALSE)</f>
        <v>1</v>
      </c>
      <c r="S3" s="60">
        <f>VLOOKUP($A$3,Razas!$A$2:$DU$39,COLUMN(S3)-COLUMN($B$3)+2,FALSE)</f>
        <v>0</v>
      </c>
      <c r="T3" s="61">
        <f>VLOOKUP($A$3,Razas!$A$2:$DU$39,COLUMN(T3)-COLUMN($B$3)+2,FALSE)</f>
        <v>0</v>
      </c>
      <c r="U3" s="61">
        <f>VLOOKUP($A$3,Razas!$A$2:$DU$39,COLUMN(U3)-COLUMN($B$3)+2,FALSE)</f>
        <v>0</v>
      </c>
      <c r="V3" s="61">
        <f>VLOOKUP($A$3,Razas!$A$2:$DU$39,COLUMN(V3)-COLUMN($B$3)+2,FALSE)</f>
        <v>0</v>
      </c>
      <c r="W3" s="61">
        <f>VLOOKUP($A$3,Razas!$A$2:$DU$39,COLUMN(W3)-COLUMN($B$3)+2,FALSE)</f>
        <v>1</v>
      </c>
      <c r="X3" s="62">
        <f>VLOOKUP($A$3,Razas!$A$2:$DU$39,COLUMN(X3)-COLUMN($B$3)+2,FALSE)</f>
        <v>0</v>
      </c>
      <c r="Y3" s="62">
        <f>VLOOKUP($A$3,Razas!$A$2:$DU$39,COLUMN(Y3)-COLUMN($B$3)+2,FALSE)</f>
        <v>0</v>
      </c>
      <c r="Z3" s="62">
        <f>VLOOKUP($A$3,Razas!$A$2:$DU$39,COLUMN(Z3)-COLUMN($B$3)+2,FALSE)</f>
        <v>0</v>
      </c>
      <c r="AA3" s="63">
        <f>VLOOKUP($A$3,Razas!$A$2:$DU$39,COLUMN(AA3)-COLUMN($B$3)+2,FALSE)</f>
        <v>0</v>
      </c>
      <c r="AB3" s="63">
        <f>VLOOKUP($A$3,Razas!$A$2:$DU$39,COLUMN(AB3)-COLUMN($B$3)+2,FALSE)</f>
        <v>1</v>
      </c>
      <c r="AC3" s="63">
        <f>VLOOKUP($A$3,Razas!$A$2:$DU$39,COLUMN(AC3)-COLUMN($B$3)+2,FALSE)</f>
        <v>0</v>
      </c>
      <c r="AD3" s="63">
        <f>VLOOKUP($A$3,Razas!$A$2:$DU$39,COLUMN(AD3)-COLUMN($B$3)+2,FALSE)</f>
        <v>0</v>
      </c>
      <c r="AE3" s="63">
        <f>VLOOKUP($A$3,Razas!$A$2:$DU$39,COLUMN(AE3)-COLUMN($B$3)+2,FALSE)</f>
        <v>0</v>
      </c>
      <c r="AF3" s="64">
        <f>VLOOKUP($A$3,Razas!$A$2:$DU$39,COLUMN(AF3)-COLUMN($B$3)+2,FALSE)</f>
        <v>1</v>
      </c>
      <c r="AG3" s="64">
        <f>VLOOKUP($A$3,Razas!$A$2:$DU$39,COLUMN(AG3)-COLUMN($B$3)+2,FALSE)</f>
        <v>1</v>
      </c>
      <c r="AH3" s="64">
        <f>VLOOKUP($A$3,Razas!$A$2:$DU$39,COLUMN(AH3)-COLUMN($B$3)+2,FALSE)</f>
        <v>1</v>
      </c>
      <c r="AI3" s="64">
        <f>VLOOKUP($A$3,Razas!$A$2:$DU$39,COLUMN(AI3)-COLUMN($B$3)+2,FALSE)</f>
        <v>1</v>
      </c>
      <c r="AJ3" s="64">
        <f>VLOOKUP($A$3,Razas!$A$2:$DU$39,COLUMN(AJ3)-COLUMN($B$3)+2,FALSE)</f>
        <v>0</v>
      </c>
      <c r="AK3" s="64">
        <f>VLOOKUP($A$3,Razas!$A$2:$DU$39,COLUMN(AK3)-COLUMN($B$3)+2,FALSE)</f>
        <v>0</v>
      </c>
      <c r="AL3" s="64">
        <f>VLOOKUP($A$3,Razas!$A$2:$DU$39,COLUMN(AL3)-COLUMN($B$3)+2,FALSE)</f>
        <v>0</v>
      </c>
      <c r="AM3" s="64">
        <f>VLOOKUP($A$3,Razas!$A$2:$DU$39,COLUMN(AM3)-COLUMN($B$3)+2,FALSE)</f>
        <v>0</v>
      </c>
      <c r="AN3" s="64">
        <f>VLOOKUP($A$3,Razas!$A$2:$DU$39,COLUMN(AN3)-COLUMN($B$3)+2,FALSE)</f>
        <v>0</v>
      </c>
      <c r="AO3" s="64">
        <f>VLOOKUP($A$3,Razas!$A$2:$DU$39,COLUMN(AO3)-COLUMN($B$3)+2,FALSE)</f>
        <v>0</v>
      </c>
      <c r="AP3" s="64">
        <f>VLOOKUP($A$3,Razas!$A$2:$DU$39,COLUMN(AP3)-COLUMN($B$3)+2,FALSE)</f>
        <v>0</v>
      </c>
      <c r="AQ3" s="64">
        <f>VLOOKUP($A$3,Razas!$A$2:$DU$39,COLUMN(AQ3)-COLUMN($B$3)+2,FALSE)</f>
        <v>0</v>
      </c>
      <c r="AR3" s="64">
        <f>VLOOKUP($A$3,Razas!$A$2:$DU$39,COLUMN(AR3)-COLUMN($B$3)+2,FALSE)</f>
        <v>0</v>
      </c>
      <c r="AS3" s="64">
        <f>VLOOKUP($A$3,Razas!$A$2:$DU$39,COLUMN(AS3)-COLUMN($B$3)+2,FALSE)</f>
        <v>0</v>
      </c>
      <c r="AT3" s="64">
        <f>VLOOKUP($A$3,Razas!$A$2:$DU$39,COLUMN(AT3)-COLUMN($B$3)+2,FALSE)</f>
        <v>0</v>
      </c>
      <c r="AU3" s="64">
        <f>VLOOKUP($A$3,Razas!$A$2:$DU$39,COLUMN(AU3)-COLUMN($B$3)+2,FALSE)</f>
        <v>0</v>
      </c>
      <c r="AV3" s="64">
        <f>VLOOKUP($A$3,Razas!$A$2:$DU$39,COLUMN(AV3)-COLUMN($B$3)+2,FALSE)</f>
        <v>0</v>
      </c>
      <c r="AW3" s="64">
        <f>VLOOKUP($A$3,Razas!$A$2:$DU$39,COLUMN(AW3)-COLUMN($B$3)+2,FALSE)</f>
        <v>0</v>
      </c>
      <c r="AX3" s="65">
        <f>VLOOKUP($A$3,Razas!$A$2:$DU$39,COLUMN(AX3)-COLUMN($B$3)+2,FALSE)</f>
        <v>0</v>
      </c>
      <c r="AY3" s="65">
        <f>VLOOKUP($A$3,Razas!$A$2:$DU$39,COLUMN(AY3)-COLUMN($B$3)+2,FALSE)</f>
        <v>0</v>
      </c>
      <c r="AZ3" s="65">
        <f>VLOOKUP($A$3,Razas!$A$2:$DU$39,COLUMN(AZ3)-COLUMN($B$3)+2,FALSE)</f>
        <v>0</v>
      </c>
      <c r="BA3" s="65">
        <f>VLOOKUP($A$3,Razas!$A$2:$DU$39,COLUMN(BA3)-COLUMN($B$3)+2,FALSE)</f>
        <v>0</v>
      </c>
      <c r="BB3" s="65">
        <f>VLOOKUP($A$3,Razas!$A$2:$DU$39,COLUMN(BB3)-COLUMN($B$3)+2,FALSE)</f>
        <v>0</v>
      </c>
      <c r="BC3" s="65">
        <f>VLOOKUP($A$3,Razas!$A$2:$DU$39,COLUMN(BC3)-COLUMN($B$3)+2,FALSE)</f>
        <v>0</v>
      </c>
      <c r="BD3" s="65">
        <f>VLOOKUP($A$3,Razas!$A$2:$DU$39,COLUMN(BD3)-COLUMN($B$3)+2,FALSE)</f>
        <v>0</v>
      </c>
      <c r="BE3" s="65">
        <f>VLOOKUP($A$3,Razas!$A$2:$DU$39,COLUMN(BE3)-COLUMN($B$3)+2,FALSE)</f>
        <v>0</v>
      </c>
      <c r="BF3" s="65">
        <f>VLOOKUP($A$3,Razas!$A$2:$DU$39,COLUMN(BF3)-COLUMN($B$3)+2,FALSE)</f>
        <v>0</v>
      </c>
      <c r="BG3" s="65">
        <f>VLOOKUP($A$3,Razas!$A$2:$DU$39,COLUMN(BG3)-COLUMN($B$3)+2,FALSE)</f>
        <v>0</v>
      </c>
      <c r="BH3" s="65">
        <f>VLOOKUP($A$3,Razas!$A$2:$DU$39,COLUMN(BH3)-COLUMN($B$3)+2,FALSE)</f>
        <v>0</v>
      </c>
      <c r="BI3" s="65">
        <f>VLOOKUP($A$3,Razas!$A$2:$DU$39,COLUMN(BI3)-COLUMN($B$3)+2,FALSE)</f>
        <v>0</v>
      </c>
      <c r="BJ3" s="65">
        <f>VLOOKUP($A$3,Razas!$A$2:$DU$39,COLUMN(BJ3)-COLUMN($B$3)+2,FALSE)</f>
        <v>0</v>
      </c>
      <c r="BK3" s="65">
        <f>VLOOKUP($A$3,Razas!$A$2:$DU$39,COLUMN(BK3)-COLUMN($B$3)+2,FALSE)</f>
        <v>0</v>
      </c>
      <c r="BL3" s="65">
        <f>VLOOKUP($A$3,Razas!$A$2:$DU$39,COLUMN(BL3)-COLUMN($B$3)+2,FALSE)</f>
        <v>0</v>
      </c>
      <c r="BM3" s="65">
        <f>VLOOKUP($A$3,Razas!$A$2:$DU$39,COLUMN(BM3)-COLUMN($B$3)+2,FALSE)</f>
        <v>0</v>
      </c>
      <c r="BN3" s="65">
        <f>VLOOKUP($A$3,Razas!$A$2:$DU$39,COLUMN(BN3)-COLUMN($B$3)+2,FALSE)</f>
        <v>0</v>
      </c>
      <c r="BO3" s="65">
        <f>VLOOKUP($A$3,Razas!$A$2:$DU$39,COLUMN(BO3)-COLUMN($B$3)+2,FALSE)</f>
        <v>0</v>
      </c>
      <c r="BP3" s="65">
        <f>VLOOKUP($A$3,Razas!$A$2:$DU$39,COLUMN(BP3)-COLUMN($B$3)+2,FALSE)</f>
        <v>0</v>
      </c>
      <c r="BQ3" s="65">
        <f>VLOOKUP($A$3,Razas!$A$2:$DU$39,COLUMN(BQ3)-COLUMN($B$3)+2,FALSE)</f>
        <v>0</v>
      </c>
      <c r="BR3" s="65">
        <f>VLOOKUP($A$3,Razas!$A$2:$DU$39,COLUMN(BR3)-COLUMN($B$3)+2,FALSE)</f>
        <v>0</v>
      </c>
      <c r="BS3" s="65">
        <f>VLOOKUP($A$3,Razas!$A$2:$DU$39,COLUMN(BS3)-COLUMN($B$3)+2,FALSE)</f>
        <v>0</v>
      </c>
      <c r="BT3" s="65">
        <f>VLOOKUP($A$3,Razas!$A$2:$DU$39,COLUMN(BT3)-COLUMN($B$3)+2,FALSE)</f>
        <v>0</v>
      </c>
      <c r="BU3" s="66">
        <f>VLOOKUP($A$3,Razas!$A$2:$DU$39,COLUMN(BU3)-COLUMN($B$3)+2,FALSE)</f>
        <v>0</v>
      </c>
      <c r="BV3" s="66">
        <f>VLOOKUP($A$3,Razas!$A$2:$DU$39,COLUMN(BV3)-COLUMN($B$3)+2,FALSE)</f>
        <v>0</v>
      </c>
      <c r="BW3" s="66">
        <f>VLOOKUP($A$3,Razas!$A$2:$DU$39,COLUMN(BW3)-COLUMN($B$3)+2,FALSE)</f>
        <v>0</v>
      </c>
      <c r="BX3" s="66">
        <f>VLOOKUP($A$3,Razas!$A$2:$DU$39,COLUMN(BX3)-COLUMN($B$3)+2,FALSE)</f>
        <v>0</v>
      </c>
      <c r="BY3" s="66">
        <f>VLOOKUP($A$3,Razas!$A$2:$DU$39,COLUMN(BY3)-COLUMN($B$3)+2,FALSE)</f>
        <v>0</v>
      </c>
      <c r="BZ3" s="66">
        <f>VLOOKUP($A$3,Razas!$A$2:$DU$39,COLUMN(BZ3)-COLUMN($B$3)+2,FALSE)</f>
        <v>0</v>
      </c>
      <c r="CA3" s="66">
        <f>VLOOKUP($A$3,Razas!$A$2:$DU$39,COLUMN(CA3)-COLUMN($B$3)+2,FALSE)</f>
        <v>0</v>
      </c>
      <c r="CB3" s="66">
        <f>VLOOKUP($A$3,Razas!$A$2:$DU$39,COLUMN(CB3)-COLUMN($B$3)+2,FALSE)</f>
        <v>0</v>
      </c>
      <c r="CC3" s="66">
        <f>VLOOKUP($A$3,Razas!$A$2:$DU$39,COLUMN(CC3)-COLUMN($B$3)+2,FALSE)</f>
        <v>0</v>
      </c>
      <c r="CD3" s="66">
        <f>VLOOKUP($A$3,Razas!$A$2:$DU$39,COLUMN(CD3)-COLUMN($B$3)+2,FALSE)</f>
        <v>0</v>
      </c>
      <c r="CE3" s="66">
        <f>VLOOKUP($A$3,Razas!$A$2:$DU$39,COLUMN(CE3)-COLUMN($B$3)+2,FALSE)</f>
        <v>0</v>
      </c>
      <c r="CF3" s="66">
        <f>VLOOKUP($A$3,Razas!$A$2:$DU$39,COLUMN(CF3)-COLUMN($B$3)+2,FALSE)</f>
        <v>0</v>
      </c>
      <c r="CG3" s="66">
        <f>VLOOKUP($A$3,Razas!$A$2:$DU$39,COLUMN(CG3)-COLUMN($B$3)+2,FALSE)</f>
        <v>0</v>
      </c>
      <c r="CH3" s="66">
        <f>VLOOKUP($A$3,Razas!$A$2:$DU$39,COLUMN(CH3)-COLUMN($B$3)+2,FALSE)</f>
        <v>0</v>
      </c>
      <c r="CI3" s="66">
        <f>VLOOKUP($A$3,Razas!$A$2:$DU$39,COLUMN(CI3)-COLUMN($B$3)+2,FALSE)</f>
        <v>0</v>
      </c>
      <c r="CJ3" s="66">
        <f>VLOOKUP($A$3,Razas!$A$2:$DU$39,COLUMN(CJ3)-COLUMN($B$3)+2,FALSE)</f>
        <v>0</v>
      </c>
      <c r="CK3" s="66">
        <f>VLOOKUP($A$3,Razas!$A$2:$DU$39,COLUMN(CK3)-COLUMN($B$3)+2,FALSE)</f>
        <v>0</v>
      </c>
      <c r="CL3" s="66">
        <f>VLOOKUP($A$3,Razas!$A$2:$DU$39,COLUMN(CL3)-COLUMN($B$3)+2,FALSE)</f>
        <v>0</v>
      </c>
      <c r="CM3" s="67">
        <f>VLOOKUP($A$3,Razas!$A$2:$DU$39,COLUMN(CM3)-COLUMN($B$3)+2,FALSE)</f>
        <v>0</v>
      </c>
      <c r="CN3" s="67">
        <f>VLOOKUP($A$3,Razas!$A$2:$DU$39,COLUMN(CN3)-COLUMN($B$3)+2,FALSE)</f>
        <v>0</v>
      </c>
      <c r="CO3" s="67">
        <f>VLOOKUP($A$3,Razas!$A$2:$DU$39,COLUMN(CO3)-COLUMN($B$3)+2,FALSE)</f>
        <v>0</v>
      </c>
      <c r="CP3" s="67">
        <f>VLOOKUP($A$3,Razas!$A$2:$DU$39,COLUMN(CP3)-COLUMN($B$3)+2,FALSE)</f>
        <v>0</v>
      </c>
      <c r="CQ3" s="67">
        <f>VLOOKUP($A$3,Razas!$A$2:$DU$39,COLUMN(CQ3)-COLUMN($B$3)+2,FALSE)</f>
        <v>0</v>
      </c>
      <c r="CR3" s="67">
        <f>VLOOKUP($A$3,Razas!$A$2:$DU$39,COLUMN(CR3)-COLUMN($B$3)+2,FALSE)</f>
        <v>0</v>
      </c>
      <c r="CS3" s="67">
        <f>VLOOKUP($A$3,Razas!$A$2:$DU$39,COLUMN(CS3)-COLUMN($B$3)+2,FALSE)</f>
        <v>0</v>
      </c>
      <c r="CT3" s="67">
        <f>VLOOKUP($A$3,Razas!$A$2:$DU$39,COLUMN(CT3)-COLUMN($B$3)+2,FALSE)</f>
        <v>0</v>
      </c>
      <c r="CU3" s="67">
        <f>VLOOKUP($A$3,Razas!$A$2:$DU$39,COLUMN(CU3)-COLUMN($B$3)+2,FALSE)</f>
        <v>0</v>
      </c>
      <c r="CV3" s="67">
        <f>VLOOKUP($A$3,Razas!$A$2:$DU$39,COLUMN(CV3)-COLUMN($B$3)+2,FALSE)</f>
        <v>0</v>
      </c>
      <c r="CW3" s="67">
        <f>VLOOKUP($A$3,Razas!$A$2:$DU$39,COLUMN(CW3)-COLUMN($B$3)+2,FALSE)</f>
        <v>0</v>
      </c>
      <c r="CX3" s="67">
        <f>VLOOKUP($A$3,Razas!$A$2:$DU$39,COLUMN(CX3)-COLUMN($B$3)+2,FALSE)</f>
        <v>0</v>
      </c>
      <c r="CY3" s="67">
        <f>VLOOKUP($A$3,Razas!$A$2:$DU$39,COLUMN(CY3)-COLUMN($B$3)+2,FALSE)</f>
        <v>0</v>
      </c>
      <c r="CZ3" s="67">
        <f>VLOOKUP($A$3,Razas!$A$2:$DU$39,COLUMN(CZ3)-COLUMN($B$3)+2,FALSE)</f>
        <v>0</v>
      </c>
      <c r="DA3" s="67">
        <f>VLOOKUP($A$3,Razas!$A$2:$DU$39,COLUMN(DA3)-COLUMN($B$3)+2,FALSE)</f>
        <v>0</v>
      </c>
      <c r="DB3" s="67">
        <f>VLOOKUP($A$3,Razas!$A$2:$DU$39,COLUMN(DB3)-COLUMN($B$3)+2,FALSE)</f>
        <v>0</v>
      </c>
      <c r="DC3" s="67">
        <f>VLOOKUP($A$3,Razas!$A$2:$DU$39,COLUMN(DC3)-COLUMN($B$3)+2,FALSE)</f>
        <v>1</v>
      </c>
      <c r="DD3" s="67">
        <f>VLOOKUP($A$3,Razas!$A$2:$DU$39,COLUMN(DD3)-COLUMN($B$3)+2,FALSE)</f>
        <v>0</v>
      </c>
      <c r="DE3" s="67">
        <f>VLOOKUP($A$3,Razas!$A$2:$DU$39,COLUMN(DE3)-COLUMN($B$3)+2,FALSE)</f>
        <v>0</v>
      </c>
      <c r="DF3" s="68">
        <f>VLOOKUP($A$3,Razas!$A$2:$DU$39,COLUMN(DF3)-COLUMN($B$3)+2,FALSE)</f>
        <v>0</v>
      </c>
      <c r="DG3" s="68">
        <f>VLOOKUP($A$3,Razas!$A$2:$DU$39,COLUMN(DG3)-COLUMN($B$3)+2,FALSE)</f>
        <v>0</v>
      </c>
      <c r="DH3" s="68">
        <f>VLOOKUP($A$3,Razas!$A$2:$DU$39,COLUMN(DH3)-COLUMN($B$3)+2,FALSE)</f>
        <v>0</v>
      </c>
      <c r="DI3" s="68">
        <f>VLOOKUP($A$3,Razas!$A$2:$DU$39,COLUMN(DI3)-COLUMN($B$3)+2,FALSE)</f>
        <v>0</v>
      </c>
      <c r="DJ3" s="68">
        <f>VLOOKUP($A$3,Razas!$A$2:$DU$39,COLUMN(DJ3)-COLUMN($B$3)+2,FALSE)</f>
        <v>0</v>
      </c>
      <c r="DK3" s="68">
        <f>VLOOKUP($A$3,Razas!$A$2:$DU$39,COLUMN(DK3)-COLUMN($B$3)+2,FALSE)</f>
        <v>0</v>
      </c>
      <c r="DL3" s="69">
        <f>VLOOKUP($A$3,Razas!$A$2:$DU$39,COLUMN(DL3)-COLUMN($B$3)+2,FALSE)</f>
        <v>0</v>
      </c>
      <c r="DM3" s="69">
        <f>VLOOKUP($A$3,Razas!$A$2:$DU$39,COLUMN(DM3)-COLUMN($B$3)+2,FALSE)</f>
        <v>0</v>
      </c>
      <c r="DN3" s="69">
        <f>VLOOKUP($A$3,Razas!$A$2:$DU$39,COLUMN(DN3)-COLUMN($B$3)+2,FALSE)</f>
        <v>0</v>
      </c>
      <c r="DO3" s="69">
        <f>VLOOKUP($A$3,Razas!$A$2:$DU$39,COLUMN(DO3)-COLUMN($B$3)+2,FALSE)</f>
        <v>0</v>
      </c>
      <c r="DP3" s="69">
        <f>VLOOKUP($A$3,Razas!$A$2:$DU$39,COLUMN(DP3)-COLUMN($B$3)+2,FALSE)</f>
        <v>0</v>
      </c>
      <c r="DQ3" s="69">
        <f>VLOOKUP($A$3,Razas!$A$2:$DU$39,COLUMN(DQ3)-COLUMN($B$3)+2,FALSE)</f>
        <v>0</v>
      </c>
      <c r="DR3" s="69">
        <f>VLOOKUP($A$3,Razas!$A$2:$DU$39,COLUMN(DR3)-COLUMN($B$3)+2,FALSE)</f>
        <v>0</v>
      </c>
      <c r="DS3" s="69">
        <f>VLOOKUP($A$3,Razas!$A$2:$DU$39,COLUMN(DS3)-COLUMN($B$3)+2,FALSE)</f>
        <v>1</v>
      </c>
      <c r="DT3">
        <f>VLOOKUP($A$3,Razas!$A$2:$DU$39,COLUMN(DT3)-COLUMN($B$3)+2,FALSE)</f>
        <v>0</v>
      </c>
      <c r="DU3">
        <f>VLOOKUP($A$3,Razas!$A$2:$DV$39,COLUMN(DU3)-COLUMN($B$3)+2,FALSE)</f>
        <v>0</v>
      </c>
      <c r="DV3">
        <f>'Raciales Especiales'!B3</f>
        <v>2</v>
      </c>
    </row>
    <row r="4" spans="1:126" x14ac:dyDescent="0.25">
      <c r="A4" t="str">
        <f>'Ficha completa'!D2</f>
        <v>Guerrero</v>
      </c>
      <c r="B4">
        <f>VLOOKUP($A$4,Clases!$A$2:$DV$48,COLUMN(B4)-COLUMN($B$3)+2,FALSE)</f>
        <v>20</v>
      </c>
      <c r="C4" s="58">
        <f>VLOOKUP($A$4,Clases!$A$2:$DT$48,COLUMN(C4)-COLUMN($B$3)+2,FALSE)</f>
        <v>1</v>
      </c>
      <c r="D4" s="58">
        <f>VLOOKUP($A$4,Clases!$A$2:$DT$48,COLUMN(D4)-COLUMN($B$3)+2,FALSE)</f>
        <v>1</v>
      </c>
      <c r="E4" s="58">
        <f>VLOOKUP($A$4,Clases!$A$2:$DT$48,COLUMN(E4)-COLUMN($B$3)+2,FALSE)</f>
        <v>0</v>
      </c>
      <c r="F4" s="58">
        <f>VLOOKUP($A$4,Clases!$A$2:$DT$48,COLUMN(F4)-COLUMN($B$3)+2,FALSE)</f>
        <v>0</v>
      </c>
      <c r="G4" s="58">
        <f>VLOOKUP($A$4,Clases!$A$2:$DT$48,COLUMN(G4)-COLUMN($B$3)+2,FALSE)</f>
        <v>0</v>
      </c>
      <c r="H4" s="58">
        <f>VLOOKUP($A$4,Clases!$A$2:$DT$48,COLUMN(H4)-COLUMN($B$3)+2,FALSE)</f>
        <v>0</v>
      </c>
      <c r="I4" s="58">
        <f>VLOOKUP($A$4,Clases!$A$2:$DT$48,COLUMN(I4)-COLUMN($B$3)+2,FALSE)</f>
        <v>1</v>
      </c>
      <c r="J4" s="58">
        <f>VLOOKUP($A$4,Clases!$A$2:$DT$48,COLUMN(J4)-COLUMN($B$3)+2,FALSE)</f>
        <v>0</v>
      </c>
      <c r="K4" s="59">
        <f>VLOOKUP($A$4,Clases!$A$2:$DT$48,COLUMN(K4)-COLUMN($B$3)+2,FALSE)</f>
        <v>1</v>
      </c>
      <c r="L4" s="59">
        <f>VLOOKUP($A$4,Clases!$A$2:$DT$48,COLUMN(L4)-COLUMN($B$3)+2,FALSE)</f>
        <v>0</v>
      </c>
      <c r="M4" s="59">
        <f>VLOOKUP($A$4,Clases!$A$2:$DT$48,COLUMN(M4)-COLUMN($B$3)+2,FALSE)</f>
        <v>0</v>
      </c>
      <c r="N4" s="59">
        <f>VLOOKUP($A$4,Clases!$A$2:$DT$48,COLUMN(N4)-COLUMN($B$3)+2,FALSE)</f>
        <v>0</v>
      </c>
      <c r="O4" s="59">
        <f>VLOOKUP($A$4,Clases!$A$2:$DT$48,COLUMN(O4)-COLUMN($B$3)+2,FALSE)</f>
        <v>0</v>
      </c>
      <c r="P4" s="59">
        <f>VLOOKUP($A$4,Clases!$A$2:$DT$48,COLUMN(P4)-COLUMN($B$3)+2,FALSE)</f>
        <v>0</v>
      </c>
      <c r="Q4" s="60">
        <f>VLOOKUP($A$4,Clases!$A$2:$DT$48,COLUMN(Q4)-COLUMN($B$3)+2,FALSE)</f>
        <v>0</v>
      </c>
      <c r="R4" s="60">
        <f>VLOOKUP($A$4,Clases!$A$2:$DT$48,COLUMN(R4)-COLUMN($B$3)+2,FALSE)</f>
        <v>0</v>
      </c>
      <c r="S4" s="60">
        <f>VLOOKUP($A$4,Clases!$A$2:$DT$48,COLUMN(S4)-COLUMN($B$3)+2,FALSE)</f>
        <v>0</v>
      </c>
      <c r="T4" s="61">
        <f>VLOOKUP($A$4,Clases!$A$2:$DT$48,COLUMN(T4)-COLUMN($B$3)+2,FALSE)</f>
        <v>0</v>
      </c>
      <c r="U4" s="61">
        <f>VLOOKUP($A$4,Clases!$A$2:$DT$48,COLUMN(U4)-COLUMN($B$3)+2,FALSE)</f>
        <v>0</v>
      </c>
      <c r="V4" s="61">
        <f>VLOOKUP($A$4,Clases!$A$2:$DT$48,COLUMN(V4)-COLUMN($B$3)+2,FALSE)</f>
        <v>0</v>
      </c>
      <c r="W4" s="61">
        <f>VLOOKUP($A$4,Clases!$A$2:$DT$48,COLUMN(W4)-COLUMN($B$3)+2,FALSE)</f>
        <v>0</v>
      </c>
      <c r="X4" s="62">
        <f>VLOOKUP($A$4,Clases!$A$2:$DT$48,COLUMN(X4)-COLUMN($B$3)+2,FALSE)</f>
        <v>1</v>
      </c>
      <c r="Y4" s="62">
        <f>VLOOKUP($A$4,Clases!$A$2:$DT$48,COLUMN(Y4)-COLUMN($B$3)+2,FALSE)</f>
        <v>0</v>
      </c>
      <c r="Z4" s="62">
        <f>VLOOKUP($A$4,Clases!$A$2:$DT$48,COLUMN(Z4)-COLUMN($B$3)+2,FALSE)</f>
        <v>0</v>
      </c>
      <c r="AA4" s="63">
        <f>VLOOKUP($A$4,Clases!$A$2:$DT$48,COLUMN(AA4)-COLUMN($B$3)+2,FALSE)</f>
        <v>0</v>
      </c>
      <c r="AB4" s="63">
        <f>VLOOKUP($A$4,Clases!$A$2:$DT$48,COLUMN(AB4)-COLUMN($B$3)+2,FALSE)</f>
        <v>0</v>
      </c>
      <c r="AC4" s="63">
        <f>VLOOKUP($A$4,Clases!$A$2:$DT$48,COLUMN(AC4)-COLUMN($B$3)+2,FALSE)</f>
        <v>0</v>
      </c>
      <c r="AD4" s="63">
        <f>VLOOKUP($A$4,Clases!$A$2:$DT$48,COLUMN(AD4)-COLUMN($B$3)+2,FALSE)</f>
        <v>0</v>
      </c>
      <c r="AE4" s="63">
        <f>VLOOKUP($A$4,Clases!$A$2:$DT$48,COLUMN(AE4)-COLUMN($B$3)+2,FALSE)</f>
        <v>0</v>
      </c>
      <c r="AF4" s="64">
        <f>VLOOKUP($A$4,Clases!$A$2:$DT$48,COLUMN(AF4)-COLUMN($B$3)+2,FALSE)</f>
        <v>1</v>
      </c>
      <c r="AG4" s="64">
        <f>VLOOKUP($A$4,Clases!$A$2:$DT$48,COLUMN(AG4)-COLUMN($B$3)+2,FALSE)</f>
        <v>1</v>
      </c>
      <c r="AH4" s="64">
        <f>VLOOKUP($A$4,Clases!$A$2:$DT$48,COLUMN(AH4)-COLUMN($B$3)+2,FALSE)</f>
        <v>1</v>
      </c>
      <c r="AI4" s="64">
        <f>VLOOKUP($A$4,Clases!$A$2:$DT$48,COLUMN(AI4)-COLUMN($B$3)+2,FALSE)</f>
        <v>1</v>
      </c>
      <c r="AJ4" s="64">
        <f>VLOOKUP($A$4,Clases!$A$2:$DT$48,COLUMN(AJ4)-COLUMN($B$3)+2,FALSE)</f>
        <v>1</v>
      </c>
      <c r="AK4" s="64">
        <f>VLOOKUP($A$4,Clases!$A$2:$DT$48,COLUMN(AK4)-COLUMN($B$3)+2,FALSE)</f>
        <v>1</v>
      </c>
      <c r="AL4" s="64">
        <f>VLOOKUP($A$4,Clases!$A$2:$DT$48,COLUMN(AL4)-COLUMN($B$3)+2,FALSE)</f>
        <v>0</v>
      </c>
      <c r="AM4" s="64">
        <f>VLOOKUP($A$4,Clases!$A$2:$DT$48,COLUMN(AM4)-COLUMN($B$3)+2,FALSE)</f>
        <v>0</v>
      </c>
      <c r="AN4" s="64">
        <f>VLOOKUP($A$4,Clases!$A$2:$DT$48,COLUMN(AN4)-COLUMN($B$3)+2,FALSE)</f>
        <v>0</v>
      </c>
      <c r="AO4" s="64">
        <f>VLOOKUP($A$4,Clases!$A$2:$DT$48,COLUMN(AO4)-COLUMN($B$3)+2,FALSE)</f>
        <v>0</v>
      </c>
      <c r="AP4" s="64">
        <f>VLOOKUP($A$4,Clases!$A$2:$DT$48,COLUMN(AP4)-COLUMN($B$3)+2,FALSE)</f>
        <v>0</v>
      </c>
      <c r="AQ4" s="64">
        <f>VLOOKUP($A$4,Clases!$A$2:$DT$48,COLUMN(AQ4)-COLUMN($B$3)+2,FALSE)</f>
        <v>0</v>
      </c>
      <c r="AR4" s="64">
        <f>VLOOKUP($A$4,Clases!$A$2:$DT$48,COLUMN(AR4)-COLUMN($B$3)+2,FALSE)</f>
        <v>0</v>
      </c>
      <c r="AS4" s="64">
        <f>VLOOKUP($A$4,Clases!$A$2:$DT$48,COLUMN(AS4)-COLUMN($B$3)+2,FALSE)</f>
        <v>0</v>
      </c>
      <c r="AT4" s="64">
        <f>VLOOKUP($A$4,Clases!$A$2:$DT$48,COLUMN(AT4)-COLUMN($B$3)+2,FALSE)</f>
        <v>1</v>
      </c>
      <c r="AU4" s="64">
        <f>VLOOKUP($A$4,Clases!$A$2:$DT$48,COLUMN(AU4)-COLUMN($B$3)+2,FALSE)</f>
        <v>1</v>
      </c>
      <c r="AV4" s="64">
        <f>VLOOKUP($A$4,Clases!$A$2:$DT$48,COLUMN(AV4)-COLUMN($B$3)+2,FALSE)</f>
        <v>1</v>
      </c>
      <c r="AW4" s="64">
        <f>VLOOKUP($A$4,Clases!$A$2:$DT$48,COLUMN(AW4)-COLUMN($B$3)+2,FALSE)</f>
        <v>0</v>
      </c>
      <c r="AX4" s="65">
        <f>VLOOKUP($A$4,Clases!$A$2:$DT$48,COLUMN(AX4)-COLUMN($B$3)+2,FALSE)</f>
        <v>0</v>
      </c>
      <c r="AY4" s="65">
        <f>VLOOKUP($A$4,Clases!$A$2:$DT$48,COLUMN(AY4)-COLUMN($B$3)+2,FALSE)</f>
        <v>0</v>
      </c>
      <c r="AZ4" s="65">
        <f>VLOOKUP($A$4,Clases!$A$2:$DT$48,COLUMN(AZ4)-COLUMN($B$3)+2,FALSE)</f>
        <v>0</v>
      </c>
      <c r="BA4" s="65">
        <f>VLOOKUP($A$4,Clases!$A$2:$DT$48,COLUMN(BA4)-COLUMN($B$3)+2,FALSE)</f>
        <v>0</v>
      </c>
      <c r="BB4" s="65">
        <f>VLOOKUP($A$4,Clases!$A$2:$DT$48,COLUMN(BB4)-COLUMN($B$3)+2,FALSE)</f>
        <v>0</v>
      </c>
      <c r="BC4" s="65">
        <f>VLOOKUP($A$4,Clases!$A$2:$DT$48,COLUMN(BC4)-COLUMN($B$3)+2,FALSE)</f>
        <v>0</v>
      </c>
      <c r="BD4" s="65">
        <f>VLOOKUP($A$4,Clases!$A$2:$DT$48,COLUMN(BD4)-COLUMN($B$3)+2,FALSE)</f>
        <v>0</v>
      </c>
      <c r="BE4" s="65">
        <f>VLOOKUP($A$4,Clases!$A$2:$DT$48,COLUMN(BE4)-COLUMN($B$3)+2,FALSE)</f>
        <v>0</v>
      </c>
      <c r="BF4" s="65">
        <f>VLOOKUP($A$4,Clases!$A$2:$DT$48,COLUMN(BF4)-COLUMN($B$3)+2,FALSE)</f>
        <v>0</v>
      </c>
      <c r="BG4" s="65">
        <f>VLOOKUP($A$4,Clases!$A$2:$DT$48,COLUMN(BG4)-COLUMN($B$3)+2,FALSE)</f>
        <v>0</v>
      </c>
      <c r="BH4" s="65">
        <f>VLOOKUP($A$4,Clases!$A$2:$DT$48,COLUMN(BH4)-COLUMN($B$3)+2,FALSE)</f>
        <v>0</v>
      </c>
      <c r="BI4" s="65">
        <f>VLOOKUP($A$4,Clases!$A$2:$DT$48,COLUMN(BI4)-COLUMN($B$3)+2,FALSE)</f>
        <v>0</v>
      </c>
      <c r="BJ4" s="65">
        <f>VLOOKUP($A$4,Clases!$A$2:$DT$48,COLUMN(BJ4)-COLUMN($B$3)+2,FALSE)</f>
        <v>0</v>
      </c>
      <c r="BK4" s="65">
        <f>VLOOKUP($A$4,Clases!$A$2:$DT$48,COLUMN(BK4)-COLUMN($B$3)+2,FALSE)</f>
        <v>0</v>
      </c>
      <c r="BL4" s="65">
        <f>VLOOKUP($A$4,Clases!$A$2:$DT$48,COLUMN(BL4)-COLUMN($B$3)+2,FALSE)</f>
        <v>0</v>
      </c>
      <c r="BM4" s="65">
        <f>VLOOKUP($A$4,Clases!$A$2:$DT$48,COLUMN(BM4)-COLUMN($B$3)+2,FALSE)</f>
        <v>0</v>
      </c>
      <c r="BN4" s="65">
        <f>VLOOKUP($A$4,Clases!$A$2:$DT$48,COLUMN(BN4)-COLUMN($B$3)+2,FALSE)</f>
        <v>0</v>
      </c>
      <c r="BO4" s="65">
        <f>VLOOKUP($A$4,Clases!$A$2:$DT$48,COLUMN(BO4)-COLUMN($B$3)+2,FALSE)</f>
        <v>0</v>
      </c>
      <c r="BP4" s="65">
        <f>VLOOKUP($A$4,Clases!$A$2:$DT$48,COLUMN(BP4)-COLUMN($B$3)+2,FALSE)</f>
        <v>0</v>
      </c>
      <c r="BQ4" s="65">
        <f>VLOOKUP($A$4,Clases!$A$2:$DT$48,COLUMN(BQ4)-COLUMN($B$3)+2,FALSE)</f>
        <v>0</v>
      </c>
      <c r="BR4" s="65">
        <f>VLOOKUP($A$4,Clases!$A$2:$DT$48,COLUMN(BR4)-COLUMN($B$3)+2,FALSE)</f>
        <v>0</v>
      </c>
      <c r="BS4" s="65">
        <f>VLOOKUP($A$4,Clases!$A$2:$DT$48,COLUMN(BS4)-COLUMN($B$3)+2,FALSE)</f>
        <v>0</v>
      </c>
      <c r="BT4" s="65">
        <f>VLOOKUP($A$4,Clases!$A$2:$DT$48,COLUMN(BT4)-COLUMN($B$3)+2,FALSE)</f>
        <v>0</v>
      </c>
      <c r="BU4" s="66">
        <f>VLOOKUP($A$4,Clases!$A$2:$DT$48,COLUMN(BU4)-COLUMN($B$3)+2,FALSE)</f>
        <v>1</v>
      </c>
      <c r="BV4" s="66">
        <f>VLOOKUP($A$4,Clases!$A$2:$DT$48,COLUMN(BV4)-COLUMN($B$3)+2,FALSE)</f>
        <v>1</v>
      </c>
      <c r="BW4" s="66">
        <f>VLOOKUP($A$4,Clases!$A$2:$DT$48,COLUMN(BW4)-COLUMN($B$3)+2,FALSE)</f>
        <v>1</v>
      </c>
      <c r="BX4" s="66">
        <f>VLOOKUP($A$4,Clases!$A$2:$DT$48,COLUMN(BX4)-COLUMN($B$3)+2,FALSE)</f>
        <v>0</v>
      </c>
      <c r="BY4" s="66">
        <f>VLOOKUP($A$4,Clases!$A$2:$DT$48,COLUMN(BY4)-COLUMN($B$3)+2,FALSE)</f>
        <v>0</v>
      </c>
      <c r="BZ4" s="66">
        <f>VLOOKUP($A$4,Clases!$A$2:$DT$48,COLUMN(BZ4)-COLUMN($B$3)+2,FALSE)</f>
        <v>0</v>
      </c>
      <c r="CA4" s="66">
        <f>VLOOKUP($A$4,Clases!$A$2:$DT$48,COLUMN(CA4)-COLUMN($B$3)+2,FALSE)</f>
        <v>0</v>
      </c>
      <c r="CB4" s="66">
        <f>VLOOKUP($A$4,Clases!$A$2:$DT$48,COLUMN(CB4)-COLUMN($B$3)+2,FALSE)</f>
        <v>0</v>
      </c>
      <c r="CC4" s="66">
        <f>VLOOKUP($A$4,Clases!$A$2:$DT$48,COLUMN(CC4)-COLUMN($B$3)+2,FALSE)</f>
        <v>0</v>
      </c>
      <c r="CD4" s="66">
        <f>VLOOKUP($A$4,Clases!$A$2:$DT$48,COLUMN(CD4)-COLUMN($B$3)+2,FALSE)</f>
        <v>0</v>
      </c>
      <c r="CE4" s="66">
        <f>VLOOKUP($A$4,Clases!$A$2:$DT$48,COLUMN(CE4)-COLUMN($B$3)+2,FALSE)</f>
        <v>0</v>
      </c>
      <c r="CF4" s="66">
        <f>VLOOKUP($A$4,Clases!$A$2:$DT$48,COLUMN(CF4)-COLUMN($B$3)+2,FALSE)</f>
        <v>0</v>
      </c>
      <c r="CG4" s="66">
        <f>VLOOKUP($A$4,Clases!$A$2:$DT$48,COLUMN(CG4)-COLUMN($B$3)+2,FALSE)</f>
        <v>0</v>
      </c>
      <c r="CH4" s="66">
        <f>VLOOKUP($A$4,Clases!$A$2:$DT$48,COLUMN(CH4)-COLUMN($B$3)+2,FALSE)</f>
        <v>0</v>
      </c>
      <c r="CI4" s="66">
        <f>VLOOKUP($A$4,Clases!$A$2:$DT$48,COLUMN(CI4)-COLUMN($B$3)+2,FALSE)</f>
        <v>0</v>
      </c>
      <c r="CJ4" s="66">
        <f>VLOOKUP($A$4,Clases!$A$2:$DT$48,COLUMN(CJ4)-COLUMN($B$3)+2,FALSE)</f>
        <v>0</v>
      </c>
      <c r="CK4" s="66">
        <f>VLOOKUP($A$4,Clases!$A$2:$DT$48,COLUMN(CK4)-COLUMN($B$3)+2,FALSE)</f>
        <v>0</v>
      </c>
      <c r="CL4" s="66">
        <f>VLOOKUP($A$4,Clases!$A$2:$DT$48,COLUMN(CL4)-COLUMN($B$3)+2,FALSE)</f>
        <v>0</v>
      </c>
      <c r="CM4" s="67">
        <f>VLOOKUP($A$4,Clases!$A$2:$DT$48,COLUMN(CM4)-COLUMN($B$3)+2,FALSE)</f>
        <v>0</v>
      </c>
      <c r="CN4" s="67">
        <f>VLOOKUP($A$4,Clases!$A$2:$DT$48,COLUMN(CN4)-COLUMN($B$3)+2,FALSE)</f>
        <v>0</v>
      </c>
      <c r="CO4" s="67">
        <f>VLOOKUP($A$4,Clases!$A$2:$DT$48,COLUMN(CO4)-COLUMN($B$3)+2,FALSE)</f>
        <v>0</v>
      </c>
      <c r="CP4" s="67">
        <f>VLOOKUP($A$4,Clases!$A$2:$DT$48,COLUMN(CP4)-COLUMN($B$3)+2,FALSE)</f>
        <v>0</v>
      </c>
      <c r="CQ4" s="67">
        <f>VLOOKUP($A$4,Clases!$A$2:$DT$48,COLUMN(CQ4)-COLUMN($B$3)+2,FALSE)</f>
        <v>0</v>
      </c>
      <c r="CR4" s="67">
        <f>VLOOKUP($A$4,Clases!$A$2:$DT$48,COLUMN(CR4)-COLUMN($B$3)+2,FALSE)</f>
        <v>0</v>
      </c>
      <c r="CS4" s="67">
        <f>VLOOKUP($A$4,Clases!$A$2:$DT$48,COLUMN(CS4)-COLUMN($B$3)+2,FALSE)</f>
        <v>1</v>
      </c>
      <c r="CT4" s="67">
        <f>VLOOKUP($A$4,Clases!$A$2:$DT$48,COLUMN(CT4)-COLUMN($B$3)+2,FALSE)</f>
        <v>0</v>
      </c>
      <c r="CU4" s="67">
        <f>VLOOKUP($A$4,Clases!$A$2:$DT$48,COLUMN(CU4)-COLUMN($B$3)+2,FALSE)</f>
        <v>0</v>
      </c>
      <c r="CV4" s="67">
        <f>VLOOKUP($A$4,Clases!$A$2:$DT$48,COLUMN(CV4)-COLUMN($B$3)+2,FALSE)</f>
        <v>0</v>
      </c>
      <c r="CW4" s="67">
        <f>VLOOKUP($A$4,Clases!$A$2:$DT$48,COLUMN(CW4)-COLUMN($B$3)+2,FALSE)</f>
        <v>0</v>
      </c>
      <c r="CX4" s="67">
        <f>VLOOKUP($A$4,Clases!$A$2:$DT$48,COLUMN(CX4)-COLUMN($B$3)+2,FALSE)</f>
        <v>0</v>
      </c>
      <c r="CY4" s="67">
        <f>VLOOKUP($A$4,Clases!$A$2:$DT$48,COLUMN(CY4)-COLUMN($B$3)+2,FALSE)</f>
        <v>0</v>
      </c>
      <c r="CZ4" s="67">
        <f>VLOOKUP($A$4,Clases!$A$2:$DT$48,COLUMN(CZ4)-COLUMN($B$3)+2,FALSE)</f>
        <v>0</v>
      </c>
      <c r="DA4" s="67">
        <f>VLOOKUP($A$4,Clases!$A$2:$DT$48,COLUMN(DA4)-COLUMN($B$3)+2,FALSE)</f>
        <v>0</v>
      </c>
      <c r="DB4" s="67">
        <f>VLOOKUP($A$4,Clases!$A$2:$DT$48,COLUMN(DB4)-COLUMN($B$3)+2,FALSE)</f>
        <v>0</v>
      </c>
      <c r="DC4" s="67">
        <f>VLOOKUP($A$4,Clases!$A$2:$DT$48,COLUMN(DC4)-COLUMN($B$3)+2,FALSE)</f>
        <v>0</v>
      </c>
      <c r="DD4" s="67">
        <f>VLOOKUP($A$4,Clases!$A$2:$DT$48,COLUMN(DD4)-COLUMN($B$3)+2,FALSE)</f>
        <v>0</v>
      </c>
      <c r="DE4" s="67">
        <f>VLOOKUP($A$4,Clases!$A$2:$DT$48,COLUMN(DE4)-COLUMN($B$3)+2,FALSE)</f>
        <v>0</v>
      </c>
      <c r="DF4" s="68">
        <f>VLOOKUP($A$4,Clases!$A$2:$DT$48,COLUMN(DF4)-COLUMN($B$3)+2,FALSE)</f>
        <v>0</v>
      </c>
      <c r="DG4" s="68">
        <f>VLOOKUP($A$4,Clases!$A$2:$DT$48,COLUMN(DG4)-COLUMN($B$3)+2,FALSE)</f>
        <v>0</v>
      </c>
      <c r="DH4" s="68">
        <f>VLOOKUP($A$4,Clases!$A$2:$DT$48,COLUMN(DH4)-COLUMN($B$3)+2,FALSE)</f>
        <v>0</v>
      </c>
      <c r="DI4" s="68">
        <f>VLOOKUP($A$4,Clases!$A$2:$DT$48,COLUMN(DI4)-COLUMN($B$3)+2,FALSE)</f>
        <v>1</v>
      </c>
      <c r="DJ4" s="68">
        <f>VLOOKUP($A$4,Clases!$A$2:$DT$48,COLUMN(DJ4)-COLUMN($B$3)+2,FALSE)</f>
        <v>0</v>
      </c>
      <c r="DK4" s="68">
        <f>VLOOKUP($A$4,Clases!$A$2:$DT$48,COLUMN(DK4)-COLUMN($B$3)+2,FALSE)</f>
        <v>0</v>
      </c>
      <c r="DL4" s="69">
        <f>VLOOKUP($A$4,Clases!$A$2:$DT$48,COLUMN(DL4)-COLUMN($B$3)+2,FALSE)</f>
        <v>1</v>
      </c>
      <c r="DM4" s="69">
        <f>VLOOKUP($A$4,Clases!$A$2:$DT$48,COLUMN(DM4)-COLUMN($B$3)+2,FALSE)</f>
        <v>0</v>
      </c>
      <c r="DN4" s="69">
        <f>VLOOKUP($A$4,Clases!$A$2:$DT$48,COLUMN(DN4)-COLUMN($B$3)+2,FALSE)</f>
        <v>0</v>
      </c>
      <c r="DO4" s="69">
        <f>VLOOKUP($A$4,Clases!$A$2:$DT$48,COLUMN(DO4)-COLUMN($B$3)+2,FALSE)</f>
        <v>0</v>
      </c>
      <c r="DP4" s="69">
        <f>VLOOKUP($A$4,Clases!$A$2:$DT$48,COLUMN(DP4)-COLUMN($B$3)+2,FALSE)</f>
        <v>0</v>
      </c>
      <c r="DQ4" s="69">
        <f>VLOOKUP($A$4,Clases!$A$2:$DT$48,COLUMN(DQ4)-COLUMN($B$3)+2,FALSE)</f>
        <v>0</v>
      </c>
      <c r="DR4" s="69">
        <f>VLOOKUP($A$4,Clases!$A$2:$DT$48,COLUMN(DR4)-COLUMN($B$3)+2,FALSE)</f>
        <v>0</v>
      </c>
      <c r="DS4" s="69">
        <f>VLOOKUP($A$4,Clases!$A$2:$DT$48,COLUMN(DS4)-COLUMN($B$3)+2,FALSE)</f>
        <v>0</v>
      </c>
      <c r="DT4">
        <f>VLOOKUP($A$4,Clases!$A$2:$DT$48,COLUMN(DT4)-COLUMN($B$3)+2,FALSE)</f>
        <v>0</v>
      </c>
      <c r="DU4">
        <f>VLOOKUP($A$4,Clases!$A$2:$DU$48,COLUMN(DU4)-COLUMN($B$3)+2,FALSE)</f>
        <v>0</v>
      </c>
      <c r="DV4">
        <f>'Raciales Especiales'!B4</f>
        <v>2</v>
      </c>
    </row>
    <row r="5" spans="1:126" x14ac:dyDescent="0.25">
      <c r="A5" t="s">
        <v>191</v>
      </c>
      <c r="C5" s="58">
        <v>1</v>
      </c>
      <c r="D5" s="58">
        <v>1</v>
      </c>
      <c r="E5" s="58">
        <v>1</v>
      </c>
      <c r="F5" s="58">
        <v>1</v>
      </c>
      <c r="G5" s="58">
        <v>1</v>
      </c>
      <c r="H5" s="58">
        <v>1</v>
      </c>
      <c r="I5" s="58">
        <v>1</v>
      </c>
      <c r="J5" s="58">
        <v>1</v>
      </c>
      <c r="DV5">
        <f>'Raciales Especiales'!B5</f>
        <v>2</v>
      </c>
    </row>
    <row r="6" spans="1:126" x14ac:dyDescent="0.25">
      <c r="DV6">
        <f>'Raciales Especiales'!B6</f>
        <v>3</v>
      </c>
    </row>
    <row r="7" spans="1:126" x14ac:dyDescent="0.25">
      <c r="DV7">
        <f>'Raciales Especiales'!B7</f>
        <v>3</v>
      </c>
    </row>
    <row r="8" spans="1:126" x14ac:dyDescent="0.25">
      <c r="DV8">
        <f>'Raciales Especiales'!B8</f>
        <v>3</v>
      </c>
    </row>
    <row r="9" spans="1:126" x14ac:dyDescent="0.25">
      <c r="DV9">
        <f>'Raciales Especiales'!B9</f>
        <v>2</v>
      </c>
    </row>
    <row r="10" spans="1:126" x14ac:dyDescent="0.25">
      <c r="DV10">
        <f>'Raciales Especiales'!B10</f>
        <v>3</v>
      </c>
    </row>
    <row r="11" spans="1:126" x14ac:dyDescent="0.25">
      <c r="DV11">
        <f>'Raciales Especiales'!B11</f>
        <v>2</v>
      </c>
    </row>
    <row r="12" spans="1:126" x14ac:dyDescent="0.25">
      <c r="DV12">
        <f>'Raciales Especiales'!B12</f>
        <v>1</v>
      </c>
    </row>
    <row r="13" spans="1:126" x14ac:dyDescent="0.25">
      <c r="DV13">
        <f>'Raciales Especiales'!B13</f>
        <v>3</v>
      </c>
    </row>
    <row r="14" spans="1:126" x14ac:dyDescent="0.25">
      <c r="DV14">
        <f>'Raciales Especiales'!B14</f>
        <v>1</v>
      </c>
    </row>
    <row r="15" spans="1:126" x14ac:dyDescent="0.25">
      <c r="DV15">
        <f>'Raciales Especiales'!B15</f>
        <v>0</v>
      </c>
    </row>
    <row r="16" spans="1:126" x14ac:dyDescent="0.25">
      <c r="DV16">
        <f>'Raciales Especiales'!B16</f>
        <v>1</v>
      </c>
    </row>
    <row r="17" spans="126:126" x14ac:dyDescent="0.25">
      <c r="DV17">
        <f>'Raciales Especiales'!B17</f>
        <v>2</v>
      </c>
    </row>
    <row r="18" spans="126:126" x14ac:dyDescent="0.25">
      <c r="DV18">
        <f>'Raciales Especiales'!B18</f>
        <v>4</v>
      </c>
    </row>
    <row r="19" spans="126:126" x14ac:dyDescent="0.25">
      <c r="DV19">
        <f>'Raciales Especiales'!B19</f>
        <v>1</v>
      </c>
    </row>
    <row r="20" spans="126:126" x14ac:dyDescent="0.25">
      <c r="DV20">
        <f>'Raciales Especiales'!B20</f>
        <v>0</v>
      </c>
    </row>
    <row r="21" spans="126:126" x14ac:dyDescent="0.25">
      <c r="DV21">
        <f>'Raciales Especiales'!B21</f>
        <v>2</v>
      </c>
    </row>
    <row r="22" spans="126:126" x14ac:dyDescent="0.25">
      <c r="DV22">
        <f>'Raciales Especiales'!B22</f>
        <v>1</v>
      </c>
    </row>
    <row r="23" spans="126:126" x14ac:dyDescent="0.25">
      <c r="DV23">
        <f>'Raciales Especiales'!B23</f>
        <v>1</v>
      </c>
    </row>
    <row r="24" spans="126:126" x14ac:dyDescent="0.25">
      <c r="DV24">
        <f>'Raciales Especiales'!B24</f>
        <v>3</v>
      </c>
    </row>
    <row r="25" spans="126:126" x14ac:dyDescent="0.25">
      <c r="DV25">
        <f>'Raciales Especiales'!B25</f>
        <v>2</v>
      </c>
    </row>
    <row r="26" spans="126:126" x14ac:dyDescent="0.25">
      <c r="DV26">
        <f>'Raciales Especiales'!B26</f>
        <v>1</v>
      </c>
    </row>
    <row r="27" spans="126:126" x14ac:dyDescent="0.25">
      <c r="DV27">
        <f>'Raciales Especiales'!B27</f>
        <v>1</v>
      </c>
    </row>
    <row r="28" spans="126:126" x14ac:dyDescent="0.25">
      <c r="DV28">
        <f>'Raciales Especiales'!B28</f>
        <v>1</v>
      </c>
    </row>
    <row r="29" spans="126:126" x14ac:dyDescent="0.25">
      <c r="DV29" t="e">
        <f>'Raciales Especiales'!#REF!</f>
        <v>#REF!</v>
      </c>
    </row>
    <row r="30" spans="126:126" x14ac:dyDescent="0.25">
      <c r="DV30">
        <f>'Raciales Especiales'!B29</f>
        <v>1</v>
      </c>
    </row>
    <row r="31" spans="126:126" x14ac:dyDescent="0.25">
      <c r="DV31">
        <f>'Raciales Especiales'!B30</f>
        <v>1</v>
      </c>
    </row>
    <row r="32" spans="126:126" x14ac:dyDescent="0.25">
      <c r="DV32">
        <f>'Raciales Especiales'!B31</f>
        <v>1</v>
      </c>
    </row>
    <row r="33" spans="126:126" x14ac:dyDescent="0.25">
      <c r="DV33">
        <f>'Raciales Especiales'!B32</f>
        <v>2</v>
      </c>
    </row>
    <row r="34" spans="126:126" x14ac:dyDescent="0.25">
      <c r="DV34">
        <f>'Raciales Especiales'!B33</f>
        <v>2</v>
      </c>
    </row>
    <row r="35" spans="126:126" x14ac:dyDescent="0.25">
      <c r="DV35">
        <f>'Raciales Especiales'!B34</f>
        <v>2</v>
      </c>
    </row>
    <row r="36" spans="126:126" x14ac:dyDescent="0.25">
      <c r="DV36">
        <f>'Raciales Especiales'!B35</f>
        <v>1</v>
      </c>
    </row>
    <row r="37" spans="126:126" x14ac:dyDescent="0.25">
      <c r="DV37">
        <f>'Raciales Especiales'!B36</f>
        <v>1</v>
      </c>
    </row>
    <row r="38" spans="126:126" x14ac:dyDescent="0.25">
      <c r="DV38">
        <f>'Raciales Especiales'!B37</f>
        <v>2</v>
      </c>
    </row>
    <row r="39" spans="126:126" x14ac:dyDescent="0.25">
      <c r="DV39">
        <f>'Raciales Especiales'!B38</f>
        <v>2</v>
      </c>
    </row>
    <row r="40" spans="126:126" x14ac:dyDescent="0.25">
      <c r="DV40" s="129">
        <f>'Raciales Especiales'!B39</f>
        <v>3</v>
      </c>
    </row>
  </sheetData>
  <sheetProtection algorithmName="SHA-512" hashValue="/rH9fTTkXi8S1Kww9Lrp5oE24QnRVMjIFwqYMyBHBY9xV3DqAAhJ73TkCEjnyg19lbc0KAFXMQnSlVuwSO1Tgw==" saltValue="mEpKT+Wv3zLVKJ16gKl78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V40"/>
  <sheetViews>
    <sheetView workbookViewId="0">
      <pane xSplit="2" ySplit="1" topLeftCell="C17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6" width="3.7109375" bestFit="1" customWidth="1"/>
  </cols>
  <sheetData>
    <row r="1" spans="1:126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</row>
    <row r="2" spans="1:126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'Raciales Especiales'!B2</f>
        <v>3</v>
      </c>
    </row>
    <row r="3" spans="1:126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'Raciales Especiales'!B3</f>
        <v>2</v>
      </c>
    </row>
    <row r="4" spans="1:126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'Raciales Especiales'!B4</f>
        <v>2</v>
      </c>
    </row>
    <row r="5" spans="1:126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'Raciales Especiales'!B5</f>
        <v>2</v>
      </c>
    </row>
    <row r="6" spans="1:126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'Raciales Especiales'!B6</f>
        <v>3</v>
      </c>
    </row>
    <row r="7" spans="1:126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'Raciales Especiales'!B7</f>
        <v>3</v>
      </c>
    </row>
    <row r="8" spans="1:126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'Raciales Especiales'!B8</f>
        <v>3</v>
      </c>
    </row>
    <row r="9" spans="1:126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'Raciales Especiales'!B9</f>
        <v>2</v>
      </c>
    </row>
    <row r="10" spans="1:126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'Raciales Especiales'!B10</f>
        <v>3</v>
      </c>
    </row>
    <row r="11" spans="1:126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'Raciales Especiales'!B11</f>
        <v>2</v>
      </c>
    </row>
    <row r="12" spans="1:126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'Raciales Especiales'!B12</f>
        <v>1</v>
      </c>
    </row>
    <row r="13" spans="1:126" x14ac:dyDescent="0.25">
      <c r="A13" s="72" t="s">
        <v>236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'Raciales Especiales'!B13</f>
        <v>3</v>
      </c>
    </row>
    <row r="14" spans="1:126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'Raciales Especiales'!B14</f>
        <v>1</v>
      </c>
    </row>
    <row r="15" spans="1:126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'Raciales Especiales'!B15</f>
        <v>0</v>
      </c>
    </row>
    <row r="16" spans="1:126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'Raciales Especiales'!B16</f>
        <v>1</v>
      </c>
    </row>
    <row r="17" spans="1:126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'Raciales Especiales'!B17</f>
        <v>2</v>
      </c>
    </row>
    <row r="18" spans="1:126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'Raciales Especiales'!B18</f>
        <v>4</v>
      </c>
    </row>
    <row r="19" spans="1:126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'Raciales Especiales'!B19</f>
        <v>1</v>
      </c>
    </row>
    <row r="20" spans="1:126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'Raciales Especiales'!B20</f>
        <v>0</v>
      </c>
    </row>
    <row r="21" spans="1:126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'Raciales Especiales'!B21</f>
        <v>2</v>
      </c>
    </row>
    <row r="22" spans="1:126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'Raciales Especiales'!B22</f>
        <v>1</v>
      </c>
    </row>
    <row r="23" spans="1:126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'Raciales Especiales'!B23</f>
        <v>1</v>
      </c>
    </row>
    <row r="24" spans="1:126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'Raciales Especiales'!B24</f>
        <v>3</v>
      </c>
    </row>
    <row r="25" spans="1:126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'Raciales Especiales'!B25</f>
        <v>2</v>
      </c>
    </row>
    <row r="26" spans="1:126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'Raciales Especiales'!B26</f>
        <v>1</v>
      </c>
    </row>
    <row r="27" spans="1:126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'Raciales Especiales'!B27</f>
        <v>1</v>
      </c>
    </row>
    <row r="28" spans="1:126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'Raciales Especiales'!B28</f>
        <v>1</v>
      </c>
    </row>
    <row r="29" spans="1:126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'Raciales Especiales'!B29</f>
        <v>1</v>
      </c>
    </row>
    <row r="30" spans="1:126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'Raciales Especiales'!B30</f>
        <v>1</v>
      </c>
    </row>
    <row r="31" spans="1:126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'Raciales Especiales'!B31</f>
        <v>1</v>
      </c>
    </row>
    <row r="32" spans="1:126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'Raciales Especiales'!B32</f>
        <v>2</v>
      </c>
    </row>
    <row r="33" spans="1:126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'Raciales Especiales'!B33</f>
        <v>2</v>
      </c>
    </row>
    <row r="34" spans="1:126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'Raciales Especiales'!B34</f>
        <v>2</v>
      </c>
    </row>
    <row r="35" spans="1:126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'Raciales Especiales'!B35</f>
        <v>1</v>
      </c>
    </row>
    <row r="36" spans="1:126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'Raciales Especiales'!B36</f>
        <v>1</v>
      </c>
    </row>
    <row r="37" spans="1:126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'Raciales Especiales'!B37</f>
        <v>2</v>
      </c>
    </row>
    <row r="38" spans="1:126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'Raciales Especiales'!B38</f>
        <v>2</v>
      </c>
    </row>
    <row r="39" spans="1:126" s="129" customFormat="1" x14ac:dyDescent="0.25">
      <c r="A39" s="128" t="s">
        <v>10</v>
      </c>
      <c r="B39" s="148">
        <f t="shared" si="0"/>
        <v>14</v>
      </c>
      <c r="C39" s="149"/>
      <c r="D39" s="149">
        <v>1</v>
      </c>
      <c r="E39" s="149"/>
      <c r="F39" s="149"/>
      <c r="G39" s="149">
        <v>1</v>
      </c>
      <c r="H39" s="149"/>
      <c r="I39" s="149"/>
      <c r="J39" s="149"/>
      <c r="K39" s="150">
        <v>1</v>
      </c>
      <c r="L39" s="150"/>
      <c r="M39" s="150"/>
      <c r="N39" s="150"/>
      <c r="O39" s="150"/>
      <c r="P39" s="150"/>
      <c r="Q39" s="151"/>
      <c r="R39" s="151"/>
      <c r="S39" s="151"/>
      <c r="T39" s="152"/>
      <c r="U39" s="152"/>
      <c r="V39" s="152">
        <v>1</v>
      </c>
      <c r="W39" s="152"/>
      <c r="X39" s="153"/>
      <c r="Y39" s="153"/>
      <c r="Z39" s="154"/>
      <c r="AA39" s="155">
        <v>1</v>
      </c>
      <c r="AB39" s="155"/>
      <c r="AC39" s="155"/>
      <c r="AD39" s="155"/>
      <c r="AE39" s="156"/>
      <c r="AF39" s="157">
        <v>1</v>
      </c>
      <c r="AG39" s="157">
        <v>1</v>
      </c>
      <c r="AH39" s="157"/>
      <c r="AI39" s="157"/>
      <c r="AJ39" s="157"/>
      <c r="AK39" s="157"/>
      <c r="AL39" s="157"/>
      <c r="AM39" s="157"/>
      <c r="AN39" s="157"/>
      <c r="AO39" s="157"/>
      <c r="AP39" s="157"/>
      <c r="AQ39" s="157">
        <v>1</v>
      </c>
      <c r="AR39" s="157"/>
      <c r="AS39" s="157"/>
      <c r="AT39" s="157">
        <v>1</v>
      </c>
      <c r="AU39" s="157"/>
      <c r="AV39" s="157"/>
      <c r="AW39" s="158">
        <v>1</v>
      </c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60"/>
      <c r="BO39" s="160"/>
      <c r="BP39" s="160"/>
      <c r="BQ39" s="160"/>
      <c r="BR39" s="160"/>
      <c r="BS39" s="160"/>
      <c r="BT39" s="160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2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4"/>
      <c r="DF39" s="165"/>
      <c r="DG39" s="165"/>
      <c r="DH39" s="165"/>
      <c r="DI39" s="165"/>
      <c r="DJ39" s="165"/>
      <c r="DK39" s="165"/>
      <c r="DL39" s="166"/>
      <c r="DM39" s="166"/>
      <c r="DN39" s="166"/>
      <c r="DO39" s="166"/>
      <c r="DP39" s="166"/>
      <c r="DQ39" s="166"/>
      <c r="DR39" s="166"/>
      <c r="DS39" s="166"/>
      <c r="DU39" s="129">
        <v>1</v>
      </c>
      <c r="DV39" s="129">
        <f>'Raciales Especiales'!B39</f>
        <v>3</v>
      </c>
    </row>
    <row r="40" spans="1:126" x14ac:dyDescent="0.25">
      <c r="C40" s="130"/>
      <c r="D40" s="130"/>
      <c r="E40" s="130"/>
      <c r="F40" s="130"/>
      <c r="G40" s="130"/>
      <c r="H40" s="130"/>
      <c r="I40" s="130"/>
      <c r="J40" s="130"/>
      <c r="K40" s="131"/>
      <c r="L40" s="131"/>
      <c r="M40" s="131"/>
      <c r="N40" s="131"/>
      <c r="O40" s="131"/>
      <c r="P40" s="131"/>
      <c r="Q40" s="132"/>
      <c r="R40" s="132"/>
      <c r="S40" s="132"/>
      <c r="T40" s="133"/>
      <c r="U40" s="133"/>
      <c r="V40" s="133"/>
      <c r="W40" s="133"/>
      <c r="X40" s="134"/>
      <c r="Y40" s="134"/>
      <c r="Z40" s="135"/>
      <c r="AA40" s="136"/>
      <c r="AB40" s="136"/>
      <c r="AC40" s="136"/>
      <c r="AD40" s="136"/>
      <c r="AE40" s="137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9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1"/>
      <c r="BO40" s="141"/>
      <c r="BP40" s="141"/>
      <c r="BQ40" s="141"/>
      <c r="BR40" s="141"/>
      <c r="BS40" s="141"/>
      <c r="BT40" s="141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3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5"/>
      <c r="DF40" s="146"/>
      <c r="DG40" s="146"/>
      <c r="DH40" s="146"/>
      <c r="DI40" s="146"/>
      <c r="DJ40" s="146"/>
      <c r="DK40" s="146"/>
      <c r="DL40" s="147"/>
      <c r="DM40" s="147"/>
      <c r="DN40" s="147"/>
      <c r="DO40" s="147"/>
      <c r="DP40" s="147"/>
      <c r="DQ40" s="147"/>
      <c r="DR40" s="147"/>
      <c r="DS40" s="14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R14"/>
  <sheetViews>
    <sheetView workbookViewId="0">
      <pane xSplit="2" ySplit="1" topLeftCell="BH2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2" width="3.7109375" style="47" bestFit="1" customWidth="1"/>
  </cols>
  <sheetData>
    <row r="1" spans="1:122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124</v>
      </c>
      <c r="DQ1" s="47" t="s">
        <v>125</v>
      </c>
      <c r="DR1" s="47" t="s">
        <v>126</v>
      </c>
    </row>
    <row r="2" spans="1:122" x14ac:dyDescent="0.25">
      <c r="A2" t="s">
        <v>131</v>
      </c>
      <c r="B2">
        <f>SUM(C2:DR2)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</row>
    <row r="3" spans="1:122" x14ac:dyDescent="0.25">
      <c r="A3" t="s">
        <v>132</v>
      </c>
      <c r="B3">
        <f t="shared" ref="B3:B14" si="0">SUM(C3:DR3)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>
        <v>1</v>
      </c>
      <c r="DR3" s="69"/>
    </row>
    <row r="4" spans="1:122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>
        <v>1</v>
      </c>
      <c r="DR4" s="69"/>
    </row>
    <row r="5" spans="1:122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P5" s="69"/>
      <c r="DQ5" s="69"/>
      <c r="DR5" s="69"/>
    </row>
    <row r="6" spans="1:122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P6" s="69">
        <v>1</v>
      </c>
      <c r="DQ6" s="69"/>
      <c r="DR6" s="69"/>
    </row>
    <row r="7" spans="1:122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P7" s="69"/>
      <c r="DQ7" s="69"/>
      <c r="DR7" s="69">
        <v>1</v>
      </c>
    </row>
    <row r="8" spans="1:122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P8" s="69"/>
      <c r="DQ8" s="69"/>
      <c r="DR8" s="69">
        <v>1</v>
      </c>
    </row>
    <row r="9" spans="1:122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P9" s="69"/>
      <c r="DQ9" s="69"/>
      <c r="DR9" s="69"/>
    </row>
    <row r="10" spans="1:122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P10" s="69"/>
      <c r="DQ10" s="69">
        <v>1</v>
      </c>
      <c r="DR10" s="69"/>
    </row>
    <row r="11" spans="1:122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P11" s="69">
        <v>1</v>
      </c>
      <c r="DQ11" s="69"/>
      <c r="DR11" s="69"/>
    </row>
    <row r="12" spans="1:122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P12" s="69">
        <v>1</v>
      </c>
      <c r="DQ12" s="69"/>
      <c r="DR12" s="69"/>
    </row>
    <row r="13" spans="1:122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P13" s="69"/>
      <c r="DQ13" s="69">
        <v>1</v>
      </c>
      <c r="DR13" s="69"/>
    </row>
    <row r="14" spans="1:122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P14" s="69"/>
      <c r="DQ14" s="69">
        <v>1</v>
      </c>
      <c r="DR14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39"/>
  <sheetViews>
    <sheetView workbookViewId="0">
      <pane xSplit="2" ySplit="1" topLeftCell="AP26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67" t="s">
        <v>127</v>
      </c>
      <c r="C1" s="124" t="s">
        <v>212</v>
      </c>
      <c r="D1" s="124" t="s">
        <v>213</v>
      </c>
      <c r="E1" s="124" t="s">
        <v>214</v>
      </c>
      <c r="F1" s="124" t="s">
        <v>215</v>
      </c>
      <c r="G1" s="124" t="s">
        <v>216</v>
      </c>
      <c r="H1" s="124" t="s">
        <v>217</v>
      </c>
      <c r="I1" s="124" t="s">
        <v>218</v>
      </c>
      <c r="J1" s="124" t="s">
        <v>220</v>
      </c>
      <c r="K1" s="124" t="s">
        <v>221</v>
      </c>
      <c r="L1" s="124" t="s">
        <v>223</v>
      </c>
      <c r="M1" s="124" t="s">
        <v>219</v>
      </c>
      <c r="N1" s="124" t="s">
        <v>222</v>
      </c>
      <c r="O1" s="124" t="s">
        <v>224</v>
      </c>
      <c r="P1" s="124" t="s">
        <v>225</v>
      </c>
      <c r="Q1" s="124" t="s">
        <v>226</v>
      </c>
      <c r="R1" s="124" t="s">
        <v>227</v>
      </c>
      <c r="S1" s="124" t="s">
        <v>228</v>
      </c>
      <c r="T1" s="124" t="s">
        <v>229</v>
      </c>
      <c r="U1" s="124" t="s">
        <v>230</v>
      </c>
      <c r="V1" s="124" t="s">
        <v>231</v>
      </c>
      <c r="W1" s="124" t="s">
        <v>232</v>
      </c>
      <c r="X1" s="124" t="s">
        <v>233</v>
      </c>
      <c r="Y1" s="124" t="s">
        <v>234</v>
      </c>
      <c r="Z1" s="124" t="s">
        <v>235</v>
      </c>
      <c r="AA1" s="124" t="s">
        <v>238</v>
      </c>
      <c r="AB1" s="124" t="s">
        <v>239</v>
      </c>
      <c r="AC1" s="124" t="s">
        <v>240</v>
      </c>
      <c r="AD1" s="124" t="s">
        <v>241</v>
      </c>
      <c r="AE1" s="124" t="s">
        <v>242</v>
      </c>
      <c r="AF1" s="124" t="s">
        <v>244</v>
      </c>
      <c r="AG1" s="124" t="s">
        <v>243</v>
      </c>
      <c r="AH1" s="124" t="s">
        <v>245</v>
      </c>
      <c r="AI1" s="124" t="s">
        <v>246</v>
      </c>
      <c r="AJ1" s="124" t="s">
        <v>247</v>
      </c>
      <c r="AK1" s="124" t="s">
        <v>248</v>
      </c>
      <c r="AL1" s="124" t="s">
        <v>249</v>
      </c>
      <c r="AM1" s="124" t="s">
        <v>250</v>
      </c>
      <c r="AN1" s="124" t="s">
        <v>251</v>
      </c>
      <c r="AO1" s="124" t="s">
        <v>252</v>
      </c>
      <c r="AP1" s="124" t="s">
        <v>253</v>
      </c>
      <c r="AQ1" s="124" t="s">
        <v>254</v>
      </c>
      <c r="AR1" s="124" t="s">
        <v>255</v>
      </c>
      <c r="AS1" s="124" t="s">
        <v>256</v>
      </c>
      <c r="AT1" s="124" t="s">
        <v>257</v>
      </c>
      <c r="AU1" s="124" t="s">
        <v>258</v>
      </c>
      <c r="AV1" s="124" t="s">
        <v>265</v>
      </c>
      <c r="AW1" s="124" t="s">
        <v>264</v>
      </c>
      <c r="AX1" s="124" t="s">
        <v>259</v>
      </c>
      <c r="AY1" s="124" t="s">
        <v>260</v>
      </c>
      <c r="AZ1" s="124" t="s">
        <v>261</v>
      </c>
      <c r="BA1" s="124" t="s">
        <v>263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262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236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completa</vt:lpstr>
      <vt:lpstr>Ficha inicial</vt:lpstr>
      <vt:lpstr>Razas</vt:lpstr>
      <vt:lpstr>Clases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2024-08-09T14:14:12Z</dcterms:modified>
</cp:coreProperties>
</file>