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6859E594-7935-493E-97C6-6F7702FFE129}" xr6:coauthVersionLast="47" xr6:coauthVersionMax="47" xr10:uidLastSave="{00000000-0000-0000-0000-000000000000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r:id="rId2"/>
    <sheet name="Razas" sheetId="1" r:id="rId3"/>
    <sheet name="Clases" sheetId="2" r:id="rId4"/>
    <sheet name="Raciales Especi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V22" i="3" l="1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29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<sst xmlns="http://schemas.openxmlformats.org/spreadsheetml/2006/main" count="634" uniqueCount="269">
  <si>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</si>
  <si>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</si>
  <si>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</si>
  <si>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</si>
  <si>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</si>
  <si>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</si>
  <si>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</si>
  <si>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</si>
  <si>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</si>
  <si>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</si>
  <si>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</si>
  <si>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</si>
  <si>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</si>
  <si>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</si>
  <si>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</si>
  <si>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</si>
  <si>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</si>
  <si>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</si>
  <si>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</si>
  <si>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</si>
  <si>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</si>
  <si>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</si>
  <si>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</si>
  <si>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</si>
  <si>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</si>
  <si>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</si>
  <si>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</si>
  <si>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</si>
  <si>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</si>
  <si>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</si>
  <si>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</si>
  <si>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</si>
  <si>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</si>
  <si>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</si>
  <si>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</si>
  <si>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</si>
  <si>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</si>
  <si>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</si>
  <si>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</si>
  <si>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</si>
  <si>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</si>
  <si>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</si>
  <si>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</si>
  <si>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</si>
  <si>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</si>
  <si>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</si>
  <si>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</si>
  <si>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</si>
  <si>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</si>
  <si>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</si>
  <si>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</si>
  <si>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</si>
  <si>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</si>
  <si>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</si>
  <si>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</si>
  <si>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</si>
  <si>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</si>
  <si>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</si>
  <si>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</si>
  <si>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</si>
  <si>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</si>
  <si>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</si>
  <si>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</si>
  <si>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</si>
  <si>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</si>
  <si>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</si>
  <si>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</si>
  <si>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</si>
  <si>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</si>
  <si>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</si>
  <si>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</si>
  <si>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</si>
  <si>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</si>
  <si>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</si>
  <si>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</si>
  <si>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</si>
  <si>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</si>
  <si>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</si>
  <si>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</si>
  <si>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</si>
  <si>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</si>
  <si>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</si>
  <si>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</si>
  <si>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</si>
  <si>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</si>
  <si>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</si>
  <si>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</si>
  <si>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</si>
  <si>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</si>
  <si>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</si>
  <si>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</si>
  <si>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</si>
  <si>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</si>
  <si>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</si>
  <si>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</si>
  <si>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</si>
  <si>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</si>
  <si>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</si>
  <si>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</si>
  <si>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</si>
  <si>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</si>
  <si>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</si>
  <si>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</si>
  <si>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</si>
  <si>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</si>
  <si>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</si>
  <si>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</si>
  <si>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</si>
  <si>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</si>
  <si>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</si>
  <si>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</si>
  <si>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</si>
  <si>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</si>
  <si>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</si>
  <si>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</si>
  <si>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</si>
  <si>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</si>
  <si>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</si>
  <si>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</si>
  <si>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</si>
  <si>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</si>
  <si>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</si>
  <si>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</si>
  <si>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</si>
  <si>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</si>
  <si>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</si>
  <si>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</si>
  <si>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</si>
  <si>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</si>
  <si>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</si>
  <si>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</si>
  <si>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</si>
  <si>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</si>
  <si>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</si>
  <si>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</si>
  <si>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</si>
  <si>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</si>
  <si>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</si>
  <si>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</si>
  <si>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</si>
  <si>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</si>
  <si>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</si>
  <si>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</si>
  <si>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</si>
  <si>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</si>
  <si>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</si>
  <si>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</si>
  <si>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</si>
  <si>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</si>
  <si>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</si>
  <si>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</si>
  <si>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</si>
  <si>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</si>
  <si>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</si>
  <si>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</si>
  <si>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</si>
  <si>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</si>
  <si>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</si>
  <si>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</si>
  <si>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</si>
  <si>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</si>
  <si>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</si>
  <si>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</si>
  <si>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</si>
  <si>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</si>
  <si>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</si>
  <si>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</si>
  <si>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</si>
  <si>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</si>
  <si>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</si>
  <si>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</si>
  <si>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</si>
  <si>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</si>
  <si>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</si>
  <si>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</si>
  <si>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</si>
  <si>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</si>
  <si>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</si>
  <si>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</si>
  <si>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</si>
  <si>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</si>
  <si>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</si>
  <si>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</si>
  <si>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</si>
  <si>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</si>
  <si>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</si>
  <si>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</si>
  <si>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</si>
  <si>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</si>
  <si>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</si>
  <si>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</si>
  <si>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</si>
  <si>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</si>
  <si>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</si>
  <si>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</si>
  <si>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</si>
  <si>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</si>
  <si>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</si>
  <si>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</si>
  <si>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</si>
  <si>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</si>
  <si>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</si>
  <si>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</si>
  <si>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</si>
  <si>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</si>
  <si>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</si>
  <si>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</si>
  <si>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</si>
  <si>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</si>
  <si>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</si>
  <si>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</si>
  <si>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</si>
  <si>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</si>
  <si>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</si>
  <si>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</si>
  <si>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</si>
  <si>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</si>
  <si>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</si>
  <si>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</si>
  <si>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</si>
  <si>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</si>
  <si>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</si>
  <si>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</si>
  <si>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</si>
  <si>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</si>
  <si>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</si>
  <si>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</si>
  <si>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</si>
  <si>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</si>
  <si>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</si>
  <si>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</si>
  <si>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</si>
  <si>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</si>
  <si>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</si>
  <si>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</si>
  <si>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</si>
  <si>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</si>
  <si>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</si>
  <si>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</si>
  <si>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</si>
  <si>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</si>
  <si>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</si>
  <si>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</si>
  <si>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</si>
  <si>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</si>
  <si>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</si>
  <si>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</si>
  <si>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</si>
  <si>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</si>
  <si>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</si>
  <si>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</si>
  <si>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</si>
  <si>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</si>
  <si>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</si>
  <si>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</si>
  <si>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</si>
  <si>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</si>
  <si>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</si>
  <si>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</si>
  <si>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</si>
  <si>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</si>
  <si>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</si>
  <si>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</si>
  <si>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</si>
  <si>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</si>
  <si>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</si>
  <si>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H9;R8;1,H9;R8;1,H9;R8;1,H9;R8;1,H9;R8;1,H9;R4;3,</t>
  </si>
  <si>
    <t>D9;R5,</t>
  </si>
  <si>
    <t>L5;R11;1,L5;R11;1,L6;R11;1,L6;R11;1,L6;R11;1,L5;R11;1,L6;R11;1,L6;R11;1,L6;R11;1,L9;R11;1,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</si>
</sst>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I16" sqref="I16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customWidth="1"/>
    <col min="18" max="18" width="11.42578125" customWidth="1"/>
    <col min="19" max="19" width="20.140625" customWidth="1"/>
    <col min="20" max="20" width="11.42578125" customWidth="1"/>
    <col min="21" max="21" width="20.42578125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197</v>
      </c>
      <c r="D1" s="175" t="s">
        <v>156</v>
      </c>
      <c r="E1" s="176"/>
      <c r="F1" s="176"/>
      <c r="G1" s="177"/>
      <c r="H1" s="126"/>
      <c r="I1" s="126"/>
      <c r="J1" s="126"/>
      <c r="K1" s="126"/>
      <c r="L1" s="126"/>
      <c r="M1" s="126"/>
      <c r="N1" s="127"/>
      <c r="U1" t="s">
        <v>192</v>
      </c>
    </row>
    <row r="2" spans="3:25" x14ac:dyDescent="0.25">
      <c r="C2" s="125" t="s">
        <v>198</v>
      </c>
      <c r="D2" s="178" t="s">
        <v>131</v>
      </c>
      <c r="E2" s="179"/>
      <c r="F2" s="179"/>
      <c r="G2" s="180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195</v>
      </c>
      <c r="D3" s="119">
        <v>1</v>
      </c>
      <c r="E3" s="118"/>
      <c r="F3" s="118"/>
      <c r="G3" s="118" t="s">
        <v>196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4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199</v>
      </c>
      <c r="W4" s="121">
        <v>7</v>
      </c>
      <c r="X4" s="174" t="s">
        <v>200</v>
      </c>
      <c r="Y4" s="174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inicial'!$C$1:$J$5, 2, FALSE))</f>
        <v>2</v>
      </c>
      <c r="F5" s="87">
        <f t="shared" ref="F5:F12" si="0">SUM(D5,E5)</f>
        <v>2</v>
      </c>
      <c r="G5" s="7" t="s">
        <v>206</v>
      </c>
      <c r="H5" s="105">
        <v>0</v>
      </c>
      <c r="I5" s="7">
        <f>IF(OR(ISBLANK($D$1),  ISBLANK($D$2)),"", HLOOKUP(G5,'Ficha inicial'!$K$1:$Z$5, 2, FALSE))</f>
        <v>1</v>
      </c>
      <c r="J5" s="90">
        <f>SUM(H5,I5)</f>
        <v>1</v>
      </c>
      <c r="K5" s="86" t="s">
        <v>38</v>
      </c>
      <c r="L5" s="115"/>
      <c r="M5" s="86">
        <f>IF(ISBLANK(K5), "", HLOOKUP(K5,'Ficha inicial'!$AF$1:$AW$2, 2, FALSE))</f>
        <v>2</v>
      </c>
      <c r="N5" s="95">
        <f t="shared" ref="N5:N17" si="1">IF(ISBLANK(K5),"",SUM(L5:M5))</f>
        <v>2</v>
      </c>
      <c r="O5" s="171" t="s">
        <v>207</v>
      </c>
      <c r="P5" s="172"/>
      <c r="Q5" t="s">
        <v>181</v>
      </c>
      <c r="R5">
        <v>4</v>
      </c>
      <c r="T5">
        <v>4</v>
      </c>
      <c r="U5" t="s">
        <v>267</v>
      </c>
      <c r="V5" s="121" t="s">
        <v>180</v>
      </c>
      <c r="W5" s="121">
        <v>20</v>
      </c>
      <c r="X5" s="121" t="s">
        <v>201</v>
      </c>
      <c r="Y5" s="121" t="s">
        <v>202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inicial'!$C$1:$J$5, 2, FALSE))</f>
        <v>3</v>
      </c>
      <c r="F6" s="87">
        <f t="shared" si="0"/>
        <v>3</v>
      </c>
      <c r="G6" s="7" t="s">
        <v>31</v>
      </c>
      <c r="H6" s="105">
        <v>0</v>
      </c>
      <c r="I6" s="7">
        <f>IF(OR(ISBLANK($D$1),  ISBLANK($D$2)),"", HLOOKUP(G6,'Ficha inicial'!$K$1:$Z$5, 2, FALSE))</f>
        <v>0</v>
      </c>
      <c r="J6" s="90">
        <f>SUM(H6,I6)</f>
        <v>0</v>
      </c>
      <c r="K6" s="86" t="s">
        <v>39</v>
      </c>
      <c r="L6" s="115"/>
      <c r="M6" s="86">
        <f>IF(ISBLANK(K6), "", HLOOKUP(K6,'Ficha inicial'!$AF$1:$AW$2, 2, FALSE))</f>
        <v>2</v>
      </c>
      <c r="N6" s="95">
        <f t="shared" si="1"/>
        <v>2</v>
      </c>
      <c r="O6" s="171"/>
      <c r="P6" s="172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inicial'!$C$1:$J$5, 2, FALSE))</f>
        <v>1</v>
      </c>
      <c r="F7" s="87">
        <f t="shared" si="0"/>
        <v>1</v>
      </c>
      <c r="G7" s="7" t="s">
        <v>32</v>
      </c>
      <c r="H7" s="105">
        <v>0</v>
      </c>
      <c r="I7" s="7">
        <f>IF(OR(ISBLANK($D$1),  ISBLANK($D$2)),"", HLOOKUP(G7,'Ficha inicial'!$K$1:$Z$5, 2, FALSE))</f>
        <v>0</v>
      </c>
      <c r="J7" s="90">
        <f>SUM(H7,I7)</f>
        <v>0</v>
      </c>
      <c r="K7" s="86" t="s">
        <v>40</v>
      </c>
      <c r="L7" s="115"/>
      <c r="M7" s="86">
        <f>IF(ISBLANK(K7), "", HLOOKUP(K7,'Ficha inicial'!$AF$1:$AW$2, 2, FALSE))</f>
        <v>2</v>
      </c>
      <c r="N7" s="95">
        <f t="shared" si="1"/>
        <v>2</v>
      </c>
      <c r="O7" s="171"/>
      <c r="P7" s="172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inicial'!$C$1:$J$5, 2, FALSE))</f>
        <v>1</v>
      </c>
      <c r="F8" s="87">
        <f t="shared" si="0"/>
        <v>1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41</v>
      </c>
      <c r="L8" s="115"/>
      <c r="M8" s="86">
        <f>IF(ISBLANK(K8), "", HLOOKUP(K8,'Ficha inicial'!$AF$1:$AW$2, 2, FALSE))</f>
        <v>2</v>
      </c>
      <c r="N8" s="95">
        <f t="shared" si="1"/>
        <v>2</v>
      </c>
      <c r="O8" s="171"/>
      <c r="P8" s="172"/>
      <c r="Q8" t="s">
        <v>184</v>
      </c>
      <c r="R8">
        <v>1</v>
      </c>
      <c r="S8">
        <v>4</v>
      </c>
      <c r="T8">
        <v>3</v>
      </c>
      <c r="U8" t="s">
        <v>266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inicial'!$C$1:$J$5, 2, FALSE))</f>
        <v>1</v>
      </c>
      <c r="F9" s="87">
        <f t="shared" si="0"/>
        <v>1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42</v>
      </c>
      <c r="L9" s="115"/>
      <c r="M9" s="86">
        <f>IF(ISBLANK(K9), "", HLOOKUP(K9,'Ficha inicial'!$AF$1:$AW$2, 2, FALSE))</f>
        <v>1</v>
      </c>
      <c r="N9" s="95">
        <f t="shared" si="1"/>
        <v>1</v>
      </c>
      <c r="O9" s="171"/>
      <c r="P9" s="172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inicial'!$C$1:$J$5, 2, FALSE))</f>
        <v>2</v>
      </c>
      <c r="F10" s="87">
        <f t="shared" si="0"/>
        <v>2</v>
      </c>
      <c r="G10" s="63" t="s">
        <v>34</v>
      </c>
      <c r="H10" s="107">
        <v>0</v>
      </c>
      <c r="I10" s="63">
        <f>IF(OR(ISBLANK($D$1),  ISBLANK($D$2)),"", HLOOKUP(G10,'Ficha inicial'!$AA$1:$AE$5, 2, FALSE))</f>
        <v>1</v>
      </c>
      <c r="J10" s="91">
        <f>SUM(H10:I10)</f>
        <v>1</v>
      </c>
      <c r="K10" s="86" t="s">
        <v>43</v>
      </c>
      <c r="L10" s="115"/>
      <c r="M10" s="86">
        <f>IF(ISBLANK(K10), "", HLOOKUP(K10,'Ficha inicial'!$AF$1:$AW$2, 2, FALSE))</f>
        <v>1</v>
      </c>
      <c r="N10" s="95">
        <f t="shared" si="1"/>
        <v>1</v>
      </c>
      <c r="O10" s="171" t="s">
        <v>208</v>
      </c>
      <c r="P10" s="172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inicial'!$C$1:$J$5,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0</v>
      </c>
      <c r="J11" s="91">
        <f>SUM(H11:I11)</f>
        <v>0</v>
      </c>
      <c r="K11" s="86" t="s">
        <v>52</v>
      </c>
      <c r="L11" s="115"/>
      <c r="M11" s="86">
        <f>IF(ISBLANK(K11), "", HLOOKUP(K11,'Ficha inicial'!$AF$1:$AW$2, 2, FALSE))</f>
        <v>1</v>
      </c>
      <c r="N11" s="95">
        <f t="shared" si="1"/>
        <v>1</v>
      </c>
      <c r="O11" s="171"/>
      <c r="P11" s="172"/>
      <c r="Q11" t="s">
        <v>183</v>
      </c>
      <c r="R11">
        <v>5</v>
      </c>
      <c r="S11">
        <v>4</v>
      </c>
      <c r="T11">
        <v>3</v>
      </c>
      <c r="U11" t="s">
        <v>268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1</v>
      </c>
      <c r="E12" s="3">
        <f>IF(OR(ISBLANK($D$1),  ISBLANK($D$2)),"", HLOOKUP(C12,'Ficha inicial'!$C$1:$J$5, 2, FALSE))</f>
        <v>1</v>
      </c>
      <c r="F12" s="87">
        <f t="shared" si="0"/>
        <v>2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 t="s">
        <v>53</v>
      </c>
      <c r="L12" s="115"/>
      <c r="M12" s="86">
        <f>IF(ISBLANK(K12), "", HLOOKUP(K12,'Ficha inicial'!$AF$1:$AW$2, 2, FALSE))</f>
        <v>1</v>
      </c>
      <c r="N12" s="95">
        <f t="shared" si="1"/>
        <v>1</v>
      </c>
      <c r="O12" s="171"/>
      <c r="P12" s="172"/>
      <c r="Q12" t="s">
        <v>187</v>
      </c>
      <c r="R12">
        <v>2</v>
      </c>
      <c r="S12">
        <v>3</v>
      </c>
      <c r="T12">
        <v>2</v>
      </c>
      <c r="V12" s="121" t="s">
        <v>203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194</v>
      </c>
      <c r="H13" s="107">
        <v>0</v>
      </c>
      <c r="I13" s="63">
        <f>IF(OR(ISBLANK($D$1),  ISBLANK($D$2)),"", HLOOKUP(G13,'Ficha inicial'!$AA$1:$AE$5, 2, FALSE))</f>
        <v>0</v>
      </c>
      <c r="J13" s="91">
        <f>SUM(H13:I13)</f>
        <v>0</v>
      </c>
      <c r="K13" s="86" t="s">
        <v>54</v>
      </c>
      <c r="L13" s="115"/>
      <c r="M13" s="86">
        <f>IF(ISBLANK(K13), "", HLOOKUP(K13,'Ficha inicial'!$AF$1:$AW$2, 2, FALSE))</f>
        <v>1</v>
      </c>
      <c r="N13" s="95">
        <f t="shared" si="1"/>
        <v>1</v>
      </c>
      <c r="O13" s="171"/>
      <c r="P13" s="172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1</v>
      </c>
      <c r="F14" s="88">
        <f t="shared" ref="F14:F25" si="2">SUM(D14,E14)</f>
        <v>1</v>
      </c>
      <c r="G14" s="92" t="s">
        <v>193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95" t="str">
        <f t="shared" si="1"/>
        <v/>
      </c>
      <c r="O14" s="171"/>
      <c r="P14" s="172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0</v>
      </c>
      <c r="F15" s="88">
        <f t="shared" si="2"/>
        <v>0</v>
      </c>
      <c r="G15" s="65" t="s">
        <v>57</v>
      </c>
      <c r="H15" s="109">
        <v>0</v>
      </c>
      <c r="I15" s="65">
        <f>IF(ISBLANK(G15), "", HLOOKUP(G15, 'Ficha inicial'!$AX$1:$BT$5, 2, FALSE))</f>
        <v>0</v>
      </c>
      <c r="J15" s="92">
        <f t="shared" ref="J15:J22" si="3">IF(ISBLANK(G15),"",SUM(H15:I15))</f>
        <v>0</v>
      </c>
      <c r="K15" s="86"/>
      <c r="L15" s="115"/>
      <c r="M15" s="86" t="str">
        <f>IF(ISBLANK(K15), "", HLOOKUP(K15,'Ficha inicial'!$AF$1:$AW$2, 2, FALSE))</f>
        <v/>
      </c>
      <c r="N15" s="95" t="str">
        <f t="shared" si="1"/>
        <v/>
      </c>
      <c r="O15" s="173" t="s">
        <v>209</v>
      </c>
      <c r="P15" s="173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/>
      <c r="H16" s="109">
        <v>0</v>
      </c>
      <c r="I16" s="65" t="str">
        <f>IF(ISBLANK(G16), "", HLOOKUP(G16, 'Ficha inicial'!$AX$1:$BT$5, 2, FALSE))</f>
        <v/>
      </c>
      <c r="J16" s="92" t="str">
        <f t="shared" si="3"/>
        <v/>
      </c>
      <c r="K16" s="86"/>
      <c r="L16" s="115"/>
      <c r="M16" s="86" t="str">
        <f>IF(ISBLANK(K16), "", HLOOKUP(K16,'Ficha inicial'!$AF$1:$AW$2, 2, FALSE))</f>
        <v/>
      </c>
      <c r="N16" s="95" t="str">
        <f t="shared" si="1"/>
        <v/>
      </c>
      <c r="O16" s="173"/>
      <c r="P16" s="173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92" t="str">
        <f t="shared" si="3"/>
        <v/>
      </c>
      <c r="K17" s="86"/>
      <c r="L17" s="115"/>
      <c r="M17" s="86" t="str">
        <f>IF(ISBLANK(K17), "", HLOOKUP(K17,'Ficha inicial'!$AF$1:$AW$2, 2, FALSE))</f>
        <v/>
      </c>
      <c r="N17" s="95" t="str">
        <f t="shared" si="1"/>
        <v/>
      </c>
      <c r="O17" s="173"/>
      <c r="P17" s="173"/>
    </row>
    <row r="18" spans="3:22" x14ac:dyDescent="0.25">
      <c r="C18" s="4" t="s">
        <v>205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73"/>
      <c r="P18" s="173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0</v>
      </c>
      <c r="N19" s="93">
        <f t="shared" ref="N19:N24" si="4">IF(ISBLANK(K19),"",SUM(L19:M19))</f>
        <v>0</v>
      </c>
      <c r="O19" s="173"/>
      <c r="P19" s="173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0</v>
      </c>
      <c r="N20" s="93">
        <f t="shared" si="4"/>
        <v>0</v>
      </c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1</v>
      </c>
      <c r="F21" s="169">
        <f t="shared" si="2"/>
        <v>1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0</v>
      </c>
      <c r="N21" s="93">
        <f t="shared" si="4"/>
        <v>0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1</v>
      </c>
      <c r="N22" s="93">
        <f t="shared" si="4"/>
        <v>1</v>
      </c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0</v>
      </c>
      <c r="F23" s="170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 t="s">
        <v>73</v>
      </c>
      <c r="H24" s="113">
        <v>0</v>
      </c>
      <c r="I24" s="66">
        <f>IF(ISBLANK(G24), "", HLOOKUP(G24,'Ficha inicial'!$BU$1:$CL$5, 2, FALSE))</f>
        <v>1</v>
      </c>
      <c r="J24" s="94">
        <f t="shared" ref="J24:J31" si="5">IF(ISBLANK(G24),"",SUM(H24:I24))</f>
        <v>1</v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0</v>
      </c>
      <c r="N24" s="93">
        <f t="shared" si="4"/>
        <v>0</v>
      </c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0</v>
      </c>
      <c r="F25" s="170">
        <f t="shared" si="2"/>
        <v>0</v>
      </c>
      <c r="G25" s="66" t="s">
        <v>74</v>
      </c>
      <c r="H25" s="113">
        <v>0</v>
      </c>
      <c r="I25" s="66">
        <f>IF(ISBLANK(G25), "", HLOOKUP(G25,'Ficha inicial'!$BU$1:$CL$5, 2, FALSE))</f>
        <v>1</v>
      </c>
      <c r="J25" s="94">
        <f t="shared" si="5"/>
        <v>1</v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204</v>
      </c>
      <c r="D26" s="123">
        <v>0</v>
      </c>
      <c r="E26" s="6">
        <f>IF(OR(ISBLANK($D$1),  ISBLANK($D$2)),"", HLOOKUP(C26,'Ficha inicial'!$K$1:$Z$5, 2, FALSE))</f>
        <v>1</v>
      </c>
      <c r="F26" s="170">
        <f t="shared" ref="F26" si="6">SUM(D26,E26)</f>
        <v>1</v>
      </c>
      <c r="G26" s="66" t="s">
        <v>75</v>
      </c>
      <c r="H26" s="113">
        <v>0</v>
      </c>
      <c r="I26" s="66">
        <f>IF(ISBLANK(G26), "", HLOOKUP(G26,'Ficha inicial'!$BU$1:$CL$5, 2, FALSE))</f>
        <v>1</v>
      </c>
      <c r="J26" s="94">
        <f t="shared" si="5"/>
        <v>1</v>
      </c>
      <c r="K26" s="67" t="s">
        <v>102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 t="s">
        <v>112</v>
      </c>
      <c r="L27" s="117">
        <v>0</v>
      </c>
      <c r="M27" s="67">
        <f>IF(ISBLANK(K27), "", HLOOKUP(K27,'Ficha inicial'!$CM$1:$DE$5, 2, FALSE))</f>
        <v>1</v>
      </c>
      <c r="N27" s="96">
        <f>IF(ISBLANK(K27),"",SUM(L27:M27))</f>
        <v>1</v>
      </c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1</v>
      </c>
      <c r="F28" s="89">
        <f t="shared" ref="F28:F32" si="7">SUM(D28:E28)</f>
        <v>1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96" t="str">
        <f>IF(ISBLANK(K28),"",SUM(L28:M28))</f>
        <v/>
      </c>
      <c r="V28" s="124"/>
    </row>
    <row r="29" spans="3:22" x14ac:dyDescent="0.25">
      <c r="C29" s="69" t="s">
        <v>210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0</v>
      </c>
      <c r="F30" s="8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0</v>
      </c>
      <c r="F31" s="8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V31" s="124"/>
    </row>
    <row r="32" spans="3:22" x14ac:dyDescent="0.25">
      <c r="C32" s="69" t="s">
        <v>237</v>
      </c>
      <c r="D32" s="102">
        <v>0</v>
      </c>
      <c r="E32" s="69">
        <f>IF(OR(ISBLANK($D$1),  ISBLANK($D$2)),"", HLOOKUP(C32,'Ficha inicial'!$DL$1:$DS$5,2,FALSE))</f>
        <v>0</v>
      </c>
      <c r="F32" s="89">
        <f t="shared" si="7"/>
        <v>0</v>
      </c>
    </row>
    <row r="33" spans="3:6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</row>
    <row r="34" spans="3:6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</row>
    <row r="35" spans="3:6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1</v>
      </c>
      <c r="F35" s="89">
        <f>SUM(D35:E35)</f>
        <v>1</v>
      </c>
    </row>
  </sheetData>
  <sheetProtection algorithmName="SHA-512" hashValue="QhSLtFOKwR6Gmq7xEjqB5bAaKvyzw6Z3Mfs7ZVe3Kk+4jDJ3U7K5M9U9oxlACMNbZ85FJ1yLcJqMybOnVlDmvg==" saltValue="5bYMmPvkIFUahsz9nw8tOg==" spinCount="100000" sheet="1" objects="1" scenarios="1"/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V40"/>
  <sheetViews>
    <sheetView zoomScaleNormal="100" workbookViewId="0">
      <selection sqref="A1:XFD1048576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194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t="s">
        <v>127</v>
      </c>
      <c r="B2">
        <f>SUM(B3:B4)</f>
        <v>33</v>
      </c>
      <c r="C2" s="58">
        <f t="shared" ref="C2:J2" si="0">SUM(C3:C5)</f>
        <v>2</v>
      </c>
      <c r="D2" s="58">
        <f t="shared" si="0"/>
        <v>3</v>
      </c>
      <c r="E2" s="58">
        <f t="shared" si="0"/>
        <v>1</v>
      </c>
      <c r="F2" s="58">
        <f t="shared" si="0"/>
        <v>1</v>
      </c>
      <c r="G2" s="58">
        <f t="shared" si="0"/>
        <v>1</v>
      </c>
      <c r="H2" s="58">
        <f t="shared" si="0"/>
        <v>2</v>
      </c>
      <c r="I2" s="58">
        <f t="shared" si="0"/>
        <v>2</v>
      </c>
      <c r="J2" s="58">
        <f t="shared" si="0"/>
        <v>1</v>
      </c>
      <c r="K2" s="59">
        <f t="shared" ref="K2:AP2" si="1">SUM(K3:K4)</f>
        <v>1</v>
      </c>
      <c r="L2" s="59">
        <f t="shared" si="1"/>
        <v>0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1</v>
      </c>
      <c r="S2" s="60">
        <f t="shared" si="1"/>
        <v>0</v>
      </c>
      <c r="T2" s="61">
        <f t="shared" si="1"/>
        <v>0</v>
      </c>
      <c r="U2" s="61">
        <f t="shared" si="1"/>
        <v>0</v>
      </c>
      <c r="V2" s="61">
        <f t="shared" si="1"/>
        <v>0</v>
      </c>
      <c r="W2" s="61">
        <f t="shared" si="1"/>
        <v>1</v>
      </c>
      <c r="X2" s="62">
        <f t="shared" si="1"/>
        <v>1</v>
      </c>
      <c r="Y2" s="62">
        <f t="shared" si="1"/>
        <v>0</v>
      </c>
      <c r="Z2" s="62">
        <f t="shared" si="1"/>
        <v>0</v>
      </c>
      <c r="AA2" s="63">
        <f t="shared" si="1"/>
        <v>0</v>
      </c>
      <c r="AB2" s="63">
        <f t="shared" si="1"/>
        <v>1</v>
      </c>
      <c r="AC2" s="63">
        <f t="shared" si="1"/>
        <v>0</v>
      </c>
      <c r="AD2" s="63">
        <f t="shared" si="1"/>
        <v>0</v>
      </c>
      <c r="AE2" s="63">
        <f t="shared" si="1"/>
        <v>0</v>
      </c>
      <c r="AF2" s="64">
        <f t="shared" si="1"/>
        <v>2</v>
      </c>
      <c r="AG2" s="64">
        <f t="shared" si="1"/>
        <v>2</v>
      </c>
      <c r="AH2" s="64">
        <f t="shared" si="1"/>
        <v>2</v>
      </c>
      <c r="AI2" s="64">
        <f t="shared" si="1"/>
        <v>2</v>
      </c>
      <c r="AJ2" s="64">
        <f t="shared" si="1"/>
        <v>1</v>
      </c>
      <c r="AK2" s="64">
        <f t="shared" si="1"/>
        <v>1</v>
      </c>
      <c r="AL2" s="64">
        <f t="shared" si="1"/>
        <v>0</v>
      </c>
      <c r="AM2" s="64">
        <f t="shared" si="1"/>
        <v>0</v>
      </c>
      <c r="AN2" s="64">
        <f t="shared" si="1"/>
        <v>0</v>
      </c>
      <c r="AO2" s="64">
        <f t="shared" si="1"/>
        <v>0</v>
      </c>
      <c r="AP2" s="64">
        <f t="shared" si="1"/>
        <v>0</v>
      </c>
      <c r="AQ2" s="64">
        <f t="shared" ref="AQ2:BV2" si="2">SUM(AQ3:AQ4)</f>
        <v>0</v>
      </c>
      <c r="AR2" s="64">
        <f t="shared" si="2"/>
        <v>0</v>
      </c>
      <c r="AS2" s="64">
        <f t="shared" si="2"/>
        <v>0</v>
      </c>
      <c r="AT2" s="64">
        <f t="shared" si="2"/>
        <v>1</v>
      </c>
      <c r="AU2" s="64">
        <f t="shared" si="2"/>
        <v>1</v>
      </c>
      <c r="AV2" s="64">
        <f t="shared" si="2"/>
        <v>1</v>
      </c>
      <c r="AW2" s="64">
        <f t="shared" si="2"/>
        <v>0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0</v>
      </c>
      <c r="BD2" s="65">
        <f t="shared" si="2"/>
        <v>0</v>
      </c>
      <c r="BE2" s="65">
        <f t="shared" si="2"/>
        <v>0</v>
      </c>
      <c r="BF2" s="65">
        <f t="shared" si="2"/>
        <v>0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0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1</v>
      </c>
      <c r="BV2" s="66">
        <f t="shared" si="2"/>
        <v>1</v>
      </c>
      <c r="BW2" s="66">
        <f t="shared" ref="BW2:DB2" si="3">SUM(BW3:BW4)</f>
        <v>1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0</v>
      </c>
      <c r="CG2" s="66">
        <f t="shared" si="3"/>
        <v>0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0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0</v>
      </c>
      <c r="CR2" s="67">
        <f t="shared" si="3"/>
        <v>0</v>
      </c>
      <c r="CS2" s="67">
        <f t="shared" si="3"/>
        <v>1</v>
      </c>
      <c r="CT2" s="67">
        <f t="shared" si="3"/>
        <v>0</v>
      </c>
      <c r="CU2" s="67">
        <f t="shared" si="3"/>
        <v>0</v>
      </c>
      <c r="CV2" s="67">
        <f t="shared" si="3"/>
        <v>0</v>
      </c>
      <c r="CW2" s="67">
        <f t="shared" si="3"/>
        <v>0</v>
      </c>
      <c r="CX2" s="67">
        <f t="shared" si="3"/>
        <v>0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1</v>
      </c>
      <c r="DD2" s="67">
        <f t="shared" si="4"/>
        <v>0</v>
      </c>
      <c r="DE2" s="67">
        <f t="shared" si="4"/>
        <v>0</v>
      </c>
      <c r="DF2" s="68">
        <f t="shared" si="4"/>
        <v>0</v>
      </c>
      <c r="DG2" s="68">
        <f t="shared" si="4"/>
        <v>0</v>
      </c>
      <c r="DH2" s="68">
        <f t="shared" si="4"/>
        <v>0</v>
      </c>
      <c r="DI2" s="68">
        <f t="shared" si="4"/>
        <v>1</v>
      </c>
      <c r="DJ2" s="68">
        <f t="shared" si="4"/>
        <v>0</v>
      </c>
      <c r="DK2" s="68">
        <f t="shared" si="4"/>
        <v>0</v>
      </c>
      <c r="DL2" s="69">
        <f t="shared" si="4"/>
        <v>1</v>
      </c>
      <c r="DM2" s="69">
        <f t="shared" si="4"/>
        <v>0</v>
      </c>
      <c r="DN2" s="69">
        <f t="shared" si="4"/>
        <v>0</v>
      </c>
      <c r="DO2" s="69">
        <f t="shared" si="4"/>
        <v>0</v>
      </c>
      <c r="DP2" s="69">
        <f t="shared" si="4"/>
        <v>0</v>
      </c>
      <c r="DQ2" s="69">
        <f t="shared" ref="DQ2" si="5">SUM(DQ3:DQ4)</f>
        <v>0</v>
      </c>
      <c r="DR2" s="69">
        <f>SUM(DR3:DR4)</f>
        <v>0</v>
      </c>
      <c r="DS2" s="69">
        <f>SUM(DS3:DS4)</f>
        <v>1</v>
      </c>
      <c r="DT2">
        <f t="shared" si="4"/>
        <v>0</v>
      </c>
      <c r="DU2">
        <f t="shared" si="4"/>
        <v>0</v>
      </c>
      <c r="DV2">
        <f>'Raciales Especiales'!B2</f>
        <v>3</v>
      </c>
    </row>
    <row r="3" spans="1:126" x14ac:dyDescent="0.25">
      <c r="A3" t="str">
        <f>'Ficha completa'!D1</f>
        <v>Humano de Lordaeron</v>
      </c>
      <c r="B3">
        <f>VLOOKUP($A$3,Razas!$A$2:$DV$39,COLUMN(B3)-COLUMN($B$3)+2,FALSE)</f>
        <v>13</v>
      </c>
      <c r="C3" s="58">
        <f>VLOOKUP($A$3,Razas!$A$2:$DU$39,COLUMN(C3)-COLUMN($B$3)+2,FALSE)</f>
        <v>0</v>
      </c>
      <c r="D3" s="58">
        <f>VLOOKUP($A$3,Razas!$A$2:$DU$39,COLUMN(D3)-COLUMN($B$3)+2,FALSE)</f>
        <v>1</v>
      </c>
      <c r="E3" s="58">
        <f>VLOOKUP($A$3,Razas!$A$2:$DU$39,COLUMN(E3)-COLUMN($B$3)+2,FALSE)</f>
        <v>0</v>
      </c>
      <c r="F3" s="58">
        <f>VLOOKUP($A$3,Razas!$A$2:$DU$39,COLUMN(F3)-COLUMN($B$3)+2,FALSE)</f>
        <v>0</v>
      </c>
      <c r="G3" s="58">
        <f>VLOOKUP($A$3,Razas!$A$2:$DU$39,COLUMN(G3)-COLUMN($B$3)+2,FALSE)</f>
        <v>0</v>
      </c>
      <c r="H3" s="58">
        <f>VLOOKUP($A$3,Razas!$A$2:$DU$39,COLUMN(H3)-COLUMN($B$3)+2,FALSE)</f>
        <v>1</v>
      </c>
      <c r="I3" s="58">
        <f>VLOOKUP($A$3,Razas!$A$2:$DU$39,COLUMN(I3)-COLUMN($B$3)+2,FALSE)</f>
        <v>0</v>
      </c>
      <c r="J3" s="58">
        <f>VLOOKUP($A$3,Razas!$A$2:$DU$39,COLUMN(J3)-COLUMN($B$3)+2,FALSE)</f>
        <v>0</v>
      </c>
      <c r="K3" s="59">
        <f>VLOOKUP($A$3,Razas!$A$2:$DU$39,COLUMN(K3)-COLUMN($B$3)+2,FALSE)</f>
        <v>0</v>
      </c>
      <c r="L3" s="59">
        <f>VLOOKUP($A$3,Razas!$A$2:$DU$39,COLUMN(L3)-COLUMN($B$3)+2,FALSE)</f>
        <v>0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1</v>
      </c>
      <c r="X3" s="62">
        <f>VLOOKUP($A$3,Razas!$A$2:$DU$39,COLUMN(X3)-COLUMN($B$3)+2,FALSE)</f>
        <v>0</v>
      </c>
      <c r="Y3" s="62">
        <f>VLOOKUP($A$3,Razas!$A$2:$DU$39,COLUMN(Y3)-COLUMN($B$3)+2,FALSE)</f>
        <v>0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1</v>
      </c>
      <c r="AC3" s="63">
        <f>VLOOKUP($A$3,Razas!$A$2:$DU$39,COLUMN(AC3)-COLUMN($B$3)+2,FALSE)</f>
        <v>0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1</v>
      </c>
      <c r="AG3" s="64">
        <f>VLOOKUP($A$3,Razas!$A$2:$DU$39,COLUMN(AG3)-COLUMN($B$3)+2,FALSE)</f>
        <v>1</v>
      </c>
      <c r="AH3" s="64">
        <f>VLOOKUP($A$3,Razas!$A$2:$DU$39,COLUMN(AH3)-COLUMN($B$3)+2,FALSE)</f>
        <v>1</v>
      </c>
      <c r="AI3" s="64">
        <f>VLOOKUP($A$3,Razas!$A$2:$DU$39,COLUMN(AI3)-COLUMN($B$3)+2,FALSE)</f>
        <v>1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0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0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0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0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1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0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0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0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1</v>
      </c>
      <c r="DT3">
        <f>VLOOKUP($A$3,Razas!$A$2:$DU$39,COLUMN(DT3)-COLUMN($B$3)+2,FALSE)</f>
        <v>0</v>
      </c>
      <c r="DU3">
        <f>VLOOKUP($A$3,Razas!$A$2:$DV$39,COLUMN(DU3)-COLUMN($B$3)+2,FALSE)</f>
        <v>0</v>
      </c>
      <c r="DV3">
        <f>'Raciales Especiales'!B3</f>
        <v>2</v>
      </c>
    </row>
    <row r="4" spans="1:126" x14ac:dyDescent="0.25">
      <c r="A4" t="str">
        <f>'Ficha completa'!D2</f>
        <v>Guerrero</v>
      </c>
      <c r="B4">
        <f>VLOOKUP($A$4,Clases!$A$2:$DV$48,COLUMN(B4)-COLUMN($B$3)+2,FALSE)</f>
        <v>20</v>
      </c>
      <c r="C4" s="58">
        <f>VLOOKUP($A$4,Clases!$A$2:$DT$48,COLUMN(C4)-COLUMN($B$3)+2,FALSE)</f>
        <v>1</v>
      </c>
      <c r="D4" s="58">
        <f>VLOOKUP($A$4,Clases!$A$2:$DT$48,COLUMN(D4)-COLUMN($B$3)+2,FALSE)</f>
        <v>1</v>
      </c>
      <c r="E4" s="58">
        <f>VLOOKUP($A$4,Clases!$A$2:$DT$48,COLUMN(E4)-COLUMN($B$3)+2,FALSE)</f>
        <v>0</v>
      </c>
      <c r="F4" s="58">
        <f>VLOOKUP($A$4,Clases!$A$2:$DT$48,COLUMN(F4)-COLUMN($B$3)+2,FALSE)</f>
        <v>0</v>
      </c>
      <c r="G4" s="58">
        <f>VLOOKUP($A$4,Clases!$A$2:$DT$48,COLUMN(G4)-COLUMN($B$3)+2,FALSE)</f>
        <v>0</v>
      </c>
      <c r="H4" s="58">
        <f>VLOOKUP($A$4,Clases!$A$2:$DT$48,COLUMN(H4)-COLUMN($B$3)+2,FALSE)</f>
        <v>0</v>
      </c>
      <c r="I4" s="58">
        <f>VLOOKUP($A$4,Clases!$A$2:$DT$48,COLUMN(I4)-COLUMN($B$3)+2,FALSE)</f>
        <v>1</v>
      </c>
      <c r="J4" s="58">
        <f>VLOOKUP($A$4,Clases!$A$2:$DT$48,COLUMN(J4)-COLUMN($B$3)+2,FALSE)</f>
        <v>0</v>
      </c>
      <c r="K4" s="59">
        <f>VLOOKUP($A$4,Clases!$A$2:$DT$48,COLUMN(K4)-COLUMN($B$3)+2,FALSE)</f>
        <v>1</v>
      </c>
      <c r="L4" s="59">
        <f>VLOOKUP($A$4,Clases!$A$2:$DT$48,COLUMN(L4)-COLUMN($B$3)+2,FALSE)</f>
        <v>0</v>
      </c>
      <c r="M4" s="59">
        <f>VLOOKUP($A$4,Clases!$A$2:$DT$48,COLUMN(M4)-COLUMN($B$3)+2,FALSE)</f>
        <v>0</v>
      </c>
      <c r="N4" s="59">
        <f>VLOOKUP($A$4,Clases!$A$2:$DT$48,COLUMN(N4)-COLUMN($B$3)+2,FALSE)</f>
        <v>0</v>
      </c>
      <c r="O4" s="59">
        <f>VLOOKUP($A$4,Clases!$A$2:$DT$48,COLUMN(O4)-COLUMN($B$3)+2,FALSE)</f>
        <v>0</v>
      </c>
      <c r="P4" s="59">
        <f>VLOOKUP($A$4,Clases!$A$2:$DT$48,COLUMN(P4)-COLUMN($B$3)+2,FALSE)</f>
        <v>0</v>
      </c>
      <c r="Q4" s="60">
        <f>VLOOKUP($A$4,Clases!$A$2:$DT$48,COLUMN(Q4)-COLUMN($B$3)+2,FALSE)</f>
        <v>0</v>
      </c>
      <c r="R4" s="60">
        <f>VLOOKUP($A$4,Clases!$A$2:$DT$48,COLUMN(R4)-COLUMN($B$3)+2,FALSE)</f>
        <v>0</v>
      </c>
      <c r="S4" s="60">
        <f>VLOOKUP($A$4,Clases!$A$2:$DT$48,COLUMN(S4)-COLUMN($B$3)+2,FALSE)</f>
        <v>0</v>
      </c>
      <c r="T4" s="61">
        <f>VLOOKUP($A$4,Clases!$A$2:$DT$48,COLUMN(T4)-COLUMN($B$3)+2,FALSE)</f>
        <v>0</v>
      </c>
      <c r="U4" s="61">
        <f>VLOOKUP($A$4,Clases!$A$2:$DT$48,COLUMN(U4)-COLUMN($B$3)+2,FALSE)</f>
        <v>0</v>
      </c>
      <c r="V4" s="61">
        <f>VLOOKUP($A$4,Clases!$A$2:$DT$48,COLUMN(V4)-COLUMN($B$3)+2,FALSE)</f>
        <v>0</v>
      </c>
      <c r="W4" s="61">
        <f>VLOOKUP($A$4,Clases!$A$2:$DT$48,COLUMN(W4)-COLUMN($B$3)+2,FALSE)</f>
        <v>0</v>
      </c>
      <c r="X4" s="62">
        <f>VLOOKUP($A$4,Clases!$A$2:$DT$48,COLUMN(X4)-COLUMN($B$3)+2,FALSE)</f>
        <v>1</v>
      </c>
      <c r="Y4" s="62">
        <f>VLOOKUP($A$4,Clases!$A$2:$DT$48,COLUMN(Y4)-COLUMN($B$3)+2,FALSE)</f>
        <v>0</v>
      </c>
      <c r="Z4" s="62">
        <f>VLOOKUP($A$4,Clases!$A$2:$DT$48,COLUMN(Z4)-COLUMN($B$3)+2,FALSE)</f>
        <v>0</v>
      </c>
      <c r="AA4" s="63">
        <f>VLOOKUP($A$4,Clases!$A$2:$DT$48,COLUMN(AA4)-COLUMN($B$3)+2,FALSE)</f>
        <v>0</v>
      </c>
      <c r="AB4" s="63">
        <f>VLOOKUP($A$4,Clases!$A$2:$DT$48,COLUMN(AB4)-COLUMN($B$3)+2,FALSE)</f>
        <v>0</v>
      </c>
      <c r="AC4" s="63">
        <f>VLOOKUP($A$4,Clases!$A$2:$DT$48,COLUMN(AC4)-COLUMN($B$3)+2,FALSE)</f>
        <v>0</v>
      </c>
      <c r="AD4" s="63">
        <f>VLOOKUP($A$4,Clases!$A$2:$DT$48,COLUMN(AD4)-COLUMN($B$3)+2,FALSE)</f>
        <v>0</v>
      </c>
      <c r="AE4" s="63">
        <f>VLOOKUP($A$4,Clases!$A$2:$DT$48,COLUMN(AE4)-COLUMN($B$3)+2,FALSE)</f>
        <v>0</v>
      </c>
      <c r="AF4" s="64">
        <f>VLOOKUP($A$4,Clases!$A$2:$DT$48,COLUMN(AF4)-COLUMN($B$3)+2,FALSE)</f>
        <v>1</v>
      </c>
      <c r="AG4" s="64">
        <f>VLOOKUP($A$4,Clases!$A$2:$DT$48,COLUMN(AG4)-COLUMN($B$3)+2,FALSE)</f>
        <v>1</v>
      </c>
      <c r="AH4" s="64">
        <f>VLOOKUP($A$4,Clases!$A$2:$DT$48,COLUMN(AH4)-COLUMN($B$3)+2,FALSE)</f>
        <v>1</v>
      </c>
      <c r="AI4" s="64">
        <f>VLOOKUP($A$4,Clases!$A$2:$DT$48,COLUMN(AI4)-COLUMN($B$3)+2,FALSE)</f>
        <v>1</v>
      </c>
      <c r="AJ4" s="64">
        <f>VLOOKUP($A$4,Clases!$A$2:$DT$48,COLUMN(AJ4)-COLUMN($B$3)+2,FALSE)</f>
        <v>1</v>
      </c>
      <c r="AK4" s="64">
        <f>VLOOKUP($A$4,Clases!$A$2:$DT$48,COLUMN(AK4)-COLUMN($B$3)+2,FALSE)</f>
        <v>1</v>
      </c>
      <c r="AL4" s="64">
        <f>VLOOKUP($A$4,Clases!$A$2:$DT$48,COLUMN(AL4)-COLUMN($B$3)+2,FALSE)</f>
        <v>0</v>
      </c>
      <c r="AM4" s="64">
        <f>VLOOKUP($A$4,Clases!$A$2:$DT$48,COLUMN(AM4)-COLUMN($B$3)+2,FALSE)</f>
        <v>0</v>
      </c>
      <c r="AN4" s="64">
        <f>VLOOKUP($A$4,Clases!$A$2:$DT$48,COLUMN(AN4)-COLUMN($B$3)+2,FALSE)</f>
        <v>0</v>
      </c>
      <c r="AO4" s="64">
        <f>VLOOKUP($A$4,Clases!$A$2:$DT$48,COLUMN(AO4)-COLUMN($B$3)+2,FALSE)</f>
        <v>0</v>
      </c>
      <c r="AP4" s="64">
        <f>VLOOKUP($A$4,Clases!$A$2:$DT$48,COLUMN(AP4)-COLUMN($B$3)+2,FALSE)</f>
        <v>0</v>
      </c>
      <c r="AQ4" s="64">
        <f>VLOOKUP($A$4,Clases!$A$2:$DT$48,COLUMN(AQ4)-COLUMN($B$3)+2,FALSE)</f>
        <v>0</v>
      </c>
      <c r="AR4" s="64">
        <f>VLOOKUP($A$4,Clases!$A$2:$DT$48,COLUMN(AR4)-COLUMN($B$3)+2,FALSE)</f>
        <v>0</v>
      </c>
      <c r="AS4" s="64">
        <f>VLOOKUP($A$4,Clases!$A$2:$DT$48,COLUMN(AS4)-COLUMN($B$3)+2,FALSE)</f>
        <v>0</v>
      </c>
      <c r="AT4" s="64">
        <f>VLOOKUP($A$4,Clases!$A$2:$DT$48,COLUMN(AT4)-COLUMN($B$3)+2,FALSE)</f>
        <v>1</v>
      </c>
      <c r="AU4" s="64">
        <f>VLOOKUP($A$4,Clases!$A$2:$DT$48,COLUMN(AU4)-COLUMN($B$3)+2,FALSE)</f>
        <v>1</v>
      </c>
      <c r="AV4" s="64">
        <f>VLOOKUP($A$4,Clases!$A$2:$DT$48,COLUMN(AV4)-COLUMN($B$3)+2,FALSE)</f>
        <v>1</v>
      </c>
      <c r="AW4" s="64">
        <f>VLOOKUP($A$4,Clases!$A$2:$DT$48,COLUMN(AW4)-COLUMN($B$3)+2,FALSE)</f>
        <v>0</v>
      </c>
      <c r="AX4" s="65">
        <f>VLOOKUP($A$4,Clases!$A$2:$DT$48,COLUMN(AX4)-COLUMN($B$3)+2,FALSE)</f>
        <v>0</v>
      </c>
      <c r="AY4" s="65">
        <f>VLOOKUP($A$4,Clases!$A$2:$DT$48,COLUMN(AY4)-COLUMN($B$3)+2,FALSE)</f>
        <v>0</v>
      </c>
      <c r="AZ4" s="65">
        <f>VLOOKUP($A$4,Clases!$A$2:$DT$48,COLUMN(AZ4)-COLUMN($B$3)+2,FALSE)</f>
        <v>0</v>
      </c>
      <c r="BA4" s="65">
        <f>VLOOKUP($A$4,Clases!$A$2:$DT$48,COLUMN(BA4)-COLUMN($B$3)+2,FALSE)</f>
        <v>0</v>
      </c>
      <c r="BB4" s="65">
        <f>VLOOKUP($A$4,Clases!$A$2:$DT$48,COLUMN(BB4)-COLUMN($B$3)+2,FALSE)</f>
        <v>0</v>
      </c>
      <c r="BC4" s="65">
        <f>VLOOKUP($A$4,Clases!$A$2:$DT$48,COLUMN(BC4)-COLUMN($B$3)+2,FALSE)</f>
        <v>0</v>
      </c>
      <c r="BD4" s="65">
        <f>VLOOKUP($A$4,Clases!$A$2:$DT$48,COLUMN(BD4)-COLUMN($B$3)+2,FALSE)</f>
        <v>0</v>
      </c>
      <c r="BE4" s="65">
        <f>VLOOKUP($A$4,Clases!$A$2:$DT$48,COLUMN(BE4)-COLUMN($B$3)+2,FALSE)</f>
        <v>0</v>
      </c>
      <c r="BF4" s="65">
        <f>VLOOKUP($A$4,Clases!$A$2:$DT$48,COLUMN(BF4)-COLUMN($B$3)+2,FALSE)</f>
        <v>0</v>
      </c>
      <c r="BG4" s="65">
        <f>VLOOKUP($A$4,Clases!$A$2:$DT$48,COLUMN(BG4)-COLUMN($B$3)+2,FALSE)</f>
        <v>0</v>
      </c>
      <c r="BH4" s="65">
        <f>VLOOKUP($A$4,Clases!$A$2:$DT$48,COLUMN(BH4)-COLUMN($B$3)+2,FALSE)</f>
        <v>0</v>
      </c>
      <c r="BI4" s="65">
        <f>VLOOKUP($A$4,Clases!$A$2:$DT$48,COLUMN(BI4)-COLUMN($B$3)+2,FALSE)</f>
        <v>0</v>
      </c>
      <c r="BJ4" s="65">
        <f>VLOOKUP($A$4,Clases!$A$2:$DT$48,COLUMN(BJ4)-COLUMN($B$3)+2,FALSE)</f>
        <v>0</v>
      </c>
      <c r="BK4" s="65">
        <f>VLOOKUP($A$4,Clases!$A$2:$DT$48,COLUMN(BK4)-COLUMN($B$3)+2,FALSE)</f>
        <v>0</v>
      </c>
      <c r="BL4" s="65">
        <f>VLOOKUP($A$4,Clases!$A$2:$DT$48,COLUMN(BL4)-COLUMN($B$3)+2,FALSE)</f>
        <v>0</v>
      </c>
      <c r="BM4" s="65">
        <f>VLOOKUP($A$4,Clases!$A$2:$DT$48,COLUMN(BM4)-COLUMN($B$3)+2,FALSE)</f>
        <v>0</v>
      </c>
      <c r="BN4" s="65">
        <f>VLOOKUP($A$4,Clases!$A$2:$DT$48,COLUMN(BN4)-COLUMN($B$3)+2,FALSE)</f>
        <v>0</v>
      </c>
      <c r="BO4" s="65">
        <f>VLOOKUP($A$4,Clases!$A$2:$DT$48,COLUMN(BO4)-COLUMN($B$3)+2,FALSE)</f>
        <v>0</v>
      </c>
      <c r="BP4" s="65">
        <f>VLOOKUP($A$4,Clases!$A$2:$DT$48,COLUMN(BP4)-COLUMN($B$3)+2,FALSE)</f>
        <v>0</v>
      </c>
      <c r="BQ4" s="65">
        <f>VLOOKUP($A$4,Clases!$A$2:$DT$48,COLUMN(BQ4)-COLUMN($B$3)+2,FALSE)</f>
        <v>0</v>
      </c>
      <c r="BR4" s="65">
        <f>VLOOKUP($A$4,Clases!$A$2:$DT$48,COLUMN(BR4)-COLUMN($B$3)+2,FALSE)</f>
        <v>0</v>
      </c>
      <c r="BS4" s="65">
        <f>VLOOKUP($A$4,Clases!$A$2:$DT$48,COLUMN(BS4)-COLUMN($B$3)+2,FALSE)</f>
        <v>0</v>
      </c>
      <c r="BT4" s="65">
        <f>VLOOKUP($A$4,Clases!$A$2:$DT$48,COLUMN(BT4)-COLUMN($B$3)+2,FALSE)</f>
        <v>0</v>
      </c>
      <c r="BU4" s="66">
        <f>VLOOKUP($A$4,Clases!$A$2:$DT$48,COLUMN(BU4)-COLUMN($B$3)+2,FALSE)</f>
        <v>1</v>
      </c>
      <c r="BV4" s="66">
        <f>VLOOKUP($A$4,Clases!$A$2:$DT$48,COLUMN(BV4)-COLUMN($B$3)+2,FALSE)</f>
        <v>1</v>
      </c>
      <c r="BW4" s="66">
        <f>VLOOKUP($A$4,Clases!$A$2:$DT$48,COLUMN(BW4)-COLUMN($B$3)+2,FALSE)</f>
        <v>1</v>
      </c>
      <c r="BX4" s="66">
        <f>VLOOKUP($A$4,Clases!$A$2:$DT$48,COLUMN(BX4)-COLUMN($B$3)+2,FALSE)</f>
        <v>0</v>
      </c>
      <c r="BY4" s="66">
        <f>VLOOKUP($A$4,Clases!$A$2:$DT$48,COLUMN(BY4)-COLUMN($B$3)+2,FALSE)</f>
        <v>0</v>
      </c>
      <c r="BZ4" s="66">
        <f>VLOOKUP($A$4,Clases!$A$2:$DT$48,COLUMN(BZ4)-COLUMN($B$3)+2,FALSE)</f>
        <v>0</v>
      </c>
      <c r="CA4" s="66">
        <f>VLOOKUP($A$4,Clases!$A$2:$DT$48,COLUMN(CA4)-COLUMN($B$3)+2,FALSE)</f>
        <v>0</v>
      </c>
      <c r="CB4" s="66">
        <f>VLOOKUP($A$4,Clases!$A$2:$DT$48,COLUMN(CB4)-COLUMN($B$3)+2,FALSE)</f>
        <v>0</v>
      </c>
      <c r="CC4" s="66">
        <f>VLOOKUP($A$4,Clases!$A$2:$DT$48,COLUMN(CC4)-COLUMN($B$3)+2,FALSE)</f>
        <v>0</v>
      </c>
      <c r="CD4" s="66">
        <f>VLOOKUP($A$4,Clases!$A$2:$DT$48,COLUMN(CD4)-COLUMN($B$3)+2,FALSE)</f>
        <v>0</v>
      </c>
      <c r="CE4" s="66">
        <f>VLOOKUP($A$4,Clases!$A$2:$DT$48,COLUMN(CE4)-COLUMN($B$3)+2,FALSE)</f>
        <v>0</v>
      </c>
      <c r="CF4" s="66">
        <f>VLOOKUP($A$4,Clases!$A$2:$DT$48,COLUMN(CF4)-COLUMN($B$3)+2,FALSE)</f>
        <v>0</v>
      </c>
      <c r="CG4" s="66">
        <f>VLOOKUP($A$4,Clases!$A$2:$DT$48,COLUMN(CG4)-COLUMN($B$3)+2,FALSE)</f>
        <v>0</v>
      </c>
      <c r="CH4" s="66">
        <f>VLOOKUP($A$4,Clases!$A$2:$DT$48,COLUMN(CH4)-COLUMN($B$3)+2,FALSE)</f>
        <v>0</v>
      </c>
      <c r="CI4" s="66">
        <f>VLOOKUP($A$4,Clases!$A$2:$DT$48,COLUMN(CI4)-COLUMN($B$3)+2,FALSE)</f>
        <v>0</v>
      </c>
      <c r="CJ4" s="66">
        <f>VLOOKUP($A$4,Clases!$A$2:$DT$48,COLUMN(CJ4)-COLUMN($B$3)+2,FALSE)</f>
        <v>0</v>
      </c>
      <c r="CK4" s="66">
        <f>VLOOKUP($A$4,Clases!$A$2:$DT$48,COLUMN(CK4)-COLUMN($B$3)+2,FALSE)</f>
        <v>0</v>
      </c>
      <c r="CL4" s="66">
        <f>VLOOKUP($A$4,Clases!$A$2:$DT$48,COLUMN(CL4)-COLUMN($B$3)+2,FALSE)</f>
        <v>0</v>
      </c>
      <c r="CM4" s="67">
        <f>VLOOKUP($A$4,Clases!$A$2:$DT$48,COLUMN(CM4)-COLUMN($B$3)+2,FALSE)</f>
        <v>0</v>
      </c>
      <c r="CN4" s="67">
        <f>VLOOKUP($A$4,Clases!$A$2:$DT$48,COLUMN(CN4)-COLUMN($B$3)+2,FALSE)</f>
        <v>0</v>
      </c>
      <c r="CO4" s="67">
        <f>VLOOKUP($A$4,Clases!$A$2:$DT$48,COLUMN(CO4)-COLUMN($B$3)+2,FALSE)</f>
        <v>0</v>
      </c>
      <c r="CP4" s="67">
        <f>VLOOKUP($A$4,Clases!$A$2:$DT$48,COLUMN(CP4)-COLUMN($B$3)+2,FALSE)</f>
        <v>0</v>
      </c>
      <c r="CQ4" s="67">
        <f>VLOOKUP($A$4,Clases!$A$2:$DT$48,COLUMN(CQ4)-COLUMN($B$3)+2,FALSE)</f>
        <v>0</v>
      </c>
      <c r="CR4" s="67">
        <f>VLOOKUP($A$4,Clases!$A$2:$DT$48,COLUMN(CR4)-COLUMN($B$3)+2,FALSE)</f>
        <v>0</v>
      </c>
      <c r="CS4" s="67">
        <f>VLOOKUP($A$4,Clases!$A$2:$DT$48,COLUMN(CS4)-COLUMN($B$3)+2,FALSE)</f>
        <v>1</v>
      </c>
      <c r="CT4" s="67">
        <f>VLOOKUP($A$4,Clases!$A$2:$DT$48,COLUMN(CT4)-COLUMN($B$3)+2,FALSE)</f>
        <v>0</v>
      </c>
      <c r="CU4" s="67">
        <f>VLOOKUP($A$4,Clases!$A$2:$DT$48,COLUMN(CU4)-COLUMN($B$3)+2,FALSE)</f>
        <v>0</v>
      </c>
      <c r="CV4" s="67">
        <f>VLOOKUP($A$4,Clases!$A$2:$DT$48,COLUMN(CV4)-COLUMN($B$3)+2,FALSE)</f>
        <v>0</v>
      </c>
      <c r="CW4" s="67">
        <f>VLOOKUP($A$4,Clases!$A$2:$DT$48,COLUMN(CW4)-COLUMN($B$3)+2,FALSE)</f>
        <v>0</v>
      </c>
      <c r="CX4" s="67">
        <f>VLOOKUP($A$4,Clases!$A$2:$DT$48,COLUMN(CX4)-COLUMN($B$3)+2,FALSE)</f>
        <v>0</v>
      </c>
      <c r="CY4" s="67">
        <f>VLOOKUP($A$4,Clases!$A$2:$DT$48,COLUMN(CY4)-COLUMN($B$3)+2,FALSE)</f>
        <v>0</v>
      </c>
      <c r="CZ4" s="67">
        <f>VLOOKUP($A$4,Clases!$A$2:$DT$48,COLUMN(CZ4)-COLUMN($B$3)+2,FALSE)</f>
        <v>0</v>
      </c>
      <c r="DA4" s="67">
        <f>VLOOKUP($A$4,Clases!$A$2:$DT$48,COLUMN(DA4)-COLUMN($B$3)+2,FALSE)</f>
        <v>0</v>
      </c>
      <c r="DB4" s="67">
        <f>VLOOKUP($A$4,Clases!$A$2:$DT$48,COLUMN(DB4)-COLUMN($B$3)+2,FALSE)</f>
        <v>0</v>
      </c>
      <c r="DC4" s="67">
        <f>VLOOKUP($A$4,Clases!$A$2:$DT$48,COLUMN(DC4)-COLUMN($B$3)+2,FALSE)</f>
        <v>0</v>
      </c>
      <c r="DD4" s="67">
        <f>VLOOKUP($A$4,Clases!$A$2:$DT$48,COLUMN(DD4)-COLUMN($B$3)+2,FALSE)</f>
        <v>0</v>
      </c>
      <c r="DE4" s="67">
        <f>VLOOKUP($A$4,Clases!$A$2:$DT$48,COLUMN(DE4)-COLUMN($B$3)+2,FALSE)</f>
        <v>0</v>
      </c>
      <c r="DF4" s="68">
        <f>VLOOKUP($A$4,Clases!$A$2:$DT$48,COLUMN(DF4)-COLUMN($B$3)+2,FALSE)</f>
        <v>0</v>
      </c>
      <c r="DG4" s="68">
        <f>VLOOKUP($A$4,Clases!$A$2:$DT$48,COLUMN(DG4)-COLUMN($B$3)+2,FALSE)</f>
        <v>0</v>
      </c>
      <c r="DH4" s="68">
        <f>VLOOKUP($A$4,Clases!$A$2:$DT$48,COLUMN(DH4)-COLUMN($B$3)+2,FALSE)</f>
        <v>0</v>
      </c>
      <c r="DI4" s="68">
        <f>VLOOKUP($A$4,Clases!$A$2:$DT$48,COLUMN(DI4)-COLUMN($B$3)+2,FALSE)</f>
        <v>1</v>
      </c>
      <c r="DJ4" s="68">
        <f>VLOOKUP($A$4,Clases!$A$2:$DT$48,COLUMN(DJ4)-COLUMN($B$3)+2,FALSE)</f>
        <v>0</v>
      </c>
      <c r="DK4" s="68">
        <f>VLOOKUP($A$4,Clases!$A$2:$DT$48,COLUMN(DK4)-COLUMN($B$3)+2,FALSE)</f>
        <v>0</v>
      </c>
      <c r="DL4" s="69">
        <f>VLOOKUP($A$4,Clases!$A$2:$DT$48,COLUMN(DL4)-COLUMN($B$3)+2,FALSE)</f>
        <v>1</v>
      </c>
      <c r="DM4" s="69">
        <f>VLOOKUP($A$4,Clases!$A$2:$DT$48,COLUMN(DM4)-COLUMN($B$3)+2,FALSE)</f>
        <v>0</v>
      </c>
      <c r="DN4" s="69">
        <f>VLOOKUP($A$4,Clases!$A$2:$DT$48,COLUMN(DN4)-COLUMN($B$3)+2,FALSE)</f>
        <v>0</v>
      </c>
      <c r="DO4" s="69">
        <f>VLOOKUP($A$4,Clases!$A$2:$DT$48,COLUMN(DO4)-COLUMN($B$3)+2,FALSE)</f>
        <v>0</v>
      </c>
      <c r="DP4" s="69">
        <f>VLOOKUP($A$4,Clases!$A$2:$DT$48,COLUMN(DP4)-COLUMN($B$3)+2,FALSE)</f>
        <v>0</v>
      </c>
      <c r="DQ4" s="69">
        <f>VLOOKUP($A$4,Clases!$A$2:$DT$48,COLUMN(DQ4)-COLUMN($B$3)+2,FALSE)</f>
        <v>0</v>
      </c>
      <c r="DR4" s="69">
        <f>VLOOKUP($A$4,Clases!$A$2:$DT$48,COLUMN(DR4)-COLUMN($B$3)+2,FALSE)</f>
        <v>0</v>
      </c>
      <c r="DS4" s="69">
        <f>VLOOKUP($A$4,Clases!$A$2:$DT$48,COLUMN(DS4)-COLUMN($B$3)+2,FALSE)</f>
        <v>0</v>
      </c>
      <c r="DT4">
        <f>VLOOKUP($A$4,Clases!$A$2:$DT$48,COLUMN(DT4)-COLUMN($B$3)+2,FALSE)</f>
        <v>0</v>
      </c>
      <c r="DU4">
        <f>VLOOKUP($A$4,Clases!$A$2:$DU$48,COLUMN(DU4)-COLUMN($B$3)+2,FALSE)</f>
        <v>0</v>
      </c>
      <c r="DV4">
        <f>'Raciales Especiales'!B4</f>
        <v>2</v>
      </c>
    </row>
    <row r="5" spans="1:126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6" x14ac:dyDescent="0.25">
      <c r="DV6">
        <f>'Raciales Especiales'!B6</f>
        <v>3</v>
      </c>
    </row>
    <row r="7" spans="1:126" x14ac:dyDescent="0.25">
      <c r="DV7">
        <f>'Raciales Especiales'!B7</f>
        <v>3</v>
      </c>
    </row>
    <row r="8" spans="1:126" x14ac:dyDescent="0.25">
      <c r="DV8">
        <f>'Raciales Especiales'!B8</f>
        <v>3</v>
      </c>
    </row>
    <row r="9" spans="1:126" x14ac:dyDescent="0.25">
      <c r="DV9">
        <f>'Raciales Especiales'!B9</f>
        <v>2</v>
      </c>
    </row>
    <row r="10" spans="1:126" x14ac:dyDescent="0.25">
      <c r="DV10">
        <f>'Raciales Especiales'!B10</f>
        <v>3</v>
      </c>
    </row>
    <row r="11" spans="1:126" x14ac:dyDescent="0.25">
      <c r="DV11">
        <f>'Raciales Especiales'!B11</f>
        <v>2</v>
      </c>
    </row>
    <row r="12" spans="1:126" x14ac:dyDescent="0.25">
      <c r="DV12">
        <f>'Raciales Especiales'!B12</f>
        <v>1</v>
      </c>
    </row>
    <row r="13" spans="1:126" x14ac:dyDescent="0.25">
      <c r="DV13">
        <f>'Raciales Especiales'!B13</f>
        <v>3</v>
      </c>
    </row>
    <row r="14" spans="1:126" x14ac:dyDescent="0.25">
      <c r="DV14">
        <f>'Raciales Especiales'!B14</f>
        <v>1</v>
      </c>
    </row>
    <row r="15" spans="1:126" x14ac:dyDescent="0.25">
      <c r="DV15">
        <f>'Raciales Especiales'!B15</f>
        <v>0</v>
      </c>
    </row>
    <row r="16" spans="1:126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 t="e">
        <f>'Raciales Especiales'!#REF!</f>
        <v>#REF!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sheetProtection algorithmName="SHA-512" hashValue="/rH9fTTkXi8S1Kww9Lrp5oE24QnRVMjIFwqYMyBHBY9xV3DqAAhJ73TkCEjnyg19lbc0KAFXMQnSlVuwSO1Tgw==" saltValue="mEpKT+Wv3zLVKJ16gKl78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V40"/>
  <sheetViews>
    <sheetView workbookViewId="0">
      <pane xSplit="2" ySplit="1" topLeftCell="C17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</row>
    <row r="3" spans="1:126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</row>
    <row r="4" spans="1:126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</row>
    <row r="5" spans="1:126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</row>
    <row r="6" spans="1:126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</row>
    <row r="7" spans="1:126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</row>
    <row r="8" spans="1:126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</row>
    <row r="9" spans="1:126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</row>
    <row r="10" spans="1:126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</row>
    <row r="11" spans="1:126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</row>
    <row r="12" spans="1:126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</row>
    <row r="13" spans="1:126" x14ac:dyDescent="0.25">
      <c r="A13" s="72" t="s">
        <v>236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</row>
    <row r="14" spans="1:126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</row>
    <row r="15" spans="1:126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</row>
    <row r="16" spans="1:126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</row>
    <row r="17" spans="1:126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</row>
    <row r="18" spans="1:126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</row>
    <row r="19" spans="1:126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</row>
    <row r="20" spans="1:126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</row>
    <row r="21" spans="1:126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</row>
    <row r="22" spans="1:126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</row>
    <row r="23" spans="1:126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</row>
    <row r="24" spans="1:126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</row>
    <row r="25" spans="1:126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</row>
    <row r="26" spans="1:126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</row>
    <row r="27" spans="1:126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</row>
    <row r="28" spans="1:126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</row>
    <row r="29" spans="1:126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</row>
    <row r="30" spans="1:126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</row>
    <row r="31" spans="1:126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</row>
    <row r="32" spans="1:126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</row>
    <row r="33" spans="1:126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</row>
    <row r="34" spans="1:126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</row>
    <row r="35" spans="1:126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</row>
    <row r="36" spans="1:126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</row>
    <row r="37" spans="1:126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</row>
    <row r="38" spans="1:126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</row>
    <row r="39" spans="1:126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'Raciales Especiales'!B39</f>
        <v>3</v>
      </c>
    </row>
    <row r="40" spans="1:126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AP26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212</v>
      </c>
      <c r="D1" s="124" t="s">
        <v>213</v>
      </c>
      <c r="E1" s="124" t="s">
        <v>214</v>
      </c>
      <c r="F1" s="124" t="s">
        <v>215</v>
      </c>
      <c r="G1" s="124" t="s">
        <v>216</v>
      </c>
      <c r="H1" s="124" t="s">
        <v>217</v>
      </c>
      <c r="I1" s="124" t="s">
        <v>218</v>
      </c>
      <c r="J1" s="124" t="s">
        <v>220</v>
      </c>
      <c r="K1" s="124" t="s">
        <v>221</v>
      </c>
      <c r="L1" s="124" t="s">
        <v>223</v>
      </c>
      <c r="M1" s="124" t="s">
        <v>219</v>
      </c>
      <c r="N1" s="124" t="s">
        <v>222</v>
      </c>
      <c r="O1" s="124" t="s">
        <v>224</v>
      </c>
      <c r="P1" s="124" t="s">
        <v>225</v>
      </c>
      <c r="Q1" s="124" t="s">
        <v>226</v>
      </c>
      <c r="R1" s="124" t="s">
        <v>227</v>
      </c>
      <c r="S1" s="124" t="s">
        <v>228</v>
      </c>
      <c r="T1" s="124" t="s">
        <v>229</v>
      </c>
      <c r="U1" s="124" t="s">
        <v>230</v>
      </c>
      <c r="V1" s="124" t="s">
        <v>231</v>
      </c>
      <c r="W1" s="124" t="s">
        <v>232</v>
      </c>
      <c r="X1" s="124" t="s">
        <v>233</v>
      </c>
      <c r="Y1" s="124" t="s">
        <v>234</v>
      </c>
      <c r="Z1" s="124" t="s">
        <v>235</v>
      </c>
      <c r="AA1" s="124" t="s">
        <v>238</v>
      </c>
      <c r="AB1" s="124" t="s">
        <v>239</v>
      </c>
      <c r="AC1" s="124" t="s">
        <v>240</v>
      </c>
      <c r="AD1" s="124" t="s">
        <v>241</v>
      </c>
      <c r="AE1" s="124" t="s">
        <v>242</v>
      </c>
      <c r="AF1" s="124" t="s">
        <v>244</v>
      </c>
      <c r="AG1" s="124" t="s">
        <v>243</v>
      </c>
      <c r="AH1" s="124" t="s">
        <v>245</v>
      </c>
      <c r="AI1" s="124" t="s">
        <v>246</v>
      </c>
      <c r="AJ1" s="124" t="s">
        <v>247</v>
      </c>
      <c r="AK1" s="124" t="s">
        <v>248</v>
      </c>
      <c r="AL1" s="124" t="s">
        <v>249</v>
      </c>
      <c r="AM1" s="124" t="s">
        <v>250</v>
      </c>
      <c r="AN1" s="124" t="s">
        <v>251</v>
      </c>
      <c r="AO1" s="124" t="s">
        <v>252</v>
      </c>
      <c r="AP1" s="124" t="s">
        <v>253</v>
      </c>
      <c r="AQ1" s="124" t="s">
        <v>254</v>
      </c>
      <c r="AR1" s="124" t="s">
        <v>255</v>
      </c>
      <c r="AS1" s="124" t="s">
        <v>256</v>
      </c>
      <c r="AT1" s="124" t="s">
        <v>257</v>
      </c>
      <c r="AU1" s="124" t="s">
        <v>258</v>
      </c>
      <c r="AV1" s="124" t="s">
        <v>265</v>
      </c>
      <c r="AW1" s="124" t="s">
        <v>264</v>
      </c>
      <c r="AX1" s="124" t="s">
        <v>259</v>
      </c>
      <c r="AY1" s="124" t="s">
        <v>260</v>
      </c>
      <c r="AZ1" s="124" t="s">
        <v>261</v>
      </c>
      <c r="BA1" s="124" t="s">
        <v>263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262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236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2024-08-08T22:02:42Z</dcterms:modified>
</cp:coreProperties>
</file>